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uitMaster" sheetId="1" state="visible" r:id="rId1"/>
    <sheet xmlns:r="http://schemas.openxmlformats.org/officeDocument/2006/relationships" name="JuiceCalculator" sheetId="2" state="visible" r:id="rId2"/>
    <sheet xmlns:r="http://schemas.openxmlformats.org/officeDocument/2006/relationships" name="MultiFruitBlend" sheetId="3" state="visible" r:id="rId3"/>
    <sheet xmlns:r="http://schemas.openxmlformats.org/officeDocument/2006/relationships" name="JuiceFermentDesigner" sheetId="4" state="visible" r:id="rId4"/>
    <sheet xmlns:r="http://schemas.openxmlformats.org/officeDocument/2006/relationships" name="SOP" sheetId="5" state="visible" r:id="rId5"/>
    <sheet xmlns:r="http://schemas.openxmlformats.org/officeDocument/2006/relationships" name="AutoSuggest" sheetId="6" state="visible" r:id="rId6"/>
    <sheet xmlns:r="http://schemas.openxmlformats.org/officeDocument/2006/relationships" name="ProductionMode" sheetId="7" state="visible" r:id="rId7"/>
    <sheet xmlns:r="http://schemas.openxmlformats.org/officeDocument/2006/relationships" name="SignatureBlends" sheetId="8" state="visible" r:id="rId8"/>
    <sheet xmlns:r="http://schemas.openxmlformats.org/officeDocument/2006/relationships" name="Costing" sheetId="9" state="visible" r:id="rId9"/>
    <sheet xmlns:r="http://schemas.openxmlformats.org/officeDocument/2006/relationships" name="CO2Safety" sheetId="10" state="visible" r:id="rId10"/>
    <sheet xmlns:r="http://schemas.openxmlformats.org/officeDocument/2006/relationships" name="Dashboard"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t="inlineStr">
        <is>
          <t>Fruit</t>
        </is>
      </c>
      <c r="B1" t="inlineStr">
        <is>
          <t>Sugar_g_per_100ml</t>
        </is>
      </c>
      <c r="C1" t="inlineStr">
        <is>
          <t>Sweetness_Score_1to10</t>
        </is>
      </c>
      <c r="D1" t="inlineStr">
        <is>
          <t>Tartness_Score_1to10</t>
        </is>
      </c>
      <c r="E1" t="inlineStr">
        <is>
          <t>Notes</t>
        </is>
      </c>
    </row>
    <row r="2">
      <c r="A2" t="inlineStr">
        <is>
          <t>Apple</t>
        </is>
      </c>
      <c r="B2" t="n">
        <v>10</v>
      </c>
      <c r="C2" t="n">
        <v>7</v>
      </c>
      <c r="D2" t="n">
        <v>3</v>
      </c>
    </row>
    <row r="3">
      <c r="A3" t="inlineStr">
        <is>
          <t>Orange</t>
        </is>
      </c>
      <c r="B3" t="n">
        <v>8.5</v>
      </c>
      <c r="C3" t="n">
        <v>6</v>
      </c>
      <c r="D3" t="n">
        <v>5</v>
      </c>
      <c r="E3" t="inlineStr">
        <is>
          <t>Citrus, bright</t>
        </is>
      </c>
    </row>
    <row r="4">
      <c r="A4" t="inlineStr">
        <is>
          <t>Pineapple</t>
        </is>
      </c>
      <c r="B4" t="n">
        <v>10</v>
      </c>
      <c r="C4" t="n">
        <v>7</v>
      </c>
      <c r="D4" t="n">
        <v>6</v>
      </c>
      <c r="E4" t="inlineStr">
        <is>
          <t>Tropical, sharp</t>
        </is>
      </c>
    </row>
    <row r="5">
      <c r="A5" t="inlineStr">
        <is>
          <t>Grape</t>
        </is>
      </c>
      <c r="B5" t="n">
        <v>15</v>
      </c>
      <c r="C5" t="n">
        <v>8</v>
      </c>
      <c r="D5" t="n">
        <v>3</v>
      </c>
      <c r="E5" t="inlineStr">
        <is>
          <t>Very sweet</t>
        </is>
      </c>
    </row>
    <row r="6">
      <c r="A6" t="inlineStr">
        <is>
          <t>Watermelon</t>
        </is>
      </c>
      <c r="B6" t="n">
        <v>6</v>
      </c>
      <c r="C6" t="n">
        <v>5</v>
      </c>
      <c r="D6" t="n">
        <v>2</v>
      </c>
      <c r="E6" t="inlineStr">
        <is>
          <t>Refreshing</t>
        </is>
      </c>
    </row>
    <row r="7">
      <c r="A7" t="inlineStr">
        <is>
          <t>Pomegranate</t>
        </is>
      </c>
      <c r="B7" t="n">
        <v>13</v>
      </c>
      <c r="C7" t="n">
        <v>7</v>
      </c>
      <c r="D7" t="n">
        <v>7</v>
      </c>
      <c r="E7" t="inlineStr">
        <is>
          <t>Deep red, tannic</t>
        </is>
      </c>
    </row>
    <row r="8">
      <c r="A8" t="inlineStr">
        <is>
          <t>Mango</t>
        </is>
      </c>
      <c r="B8" t="n">
        <v>14</v>
      </c>
      <c r="C8" t="n">
        <v>9</v>
      </c>
      <c r="D8" t="n">
        <v>3</v>
      </c>
      <c r="E8" t="inlineStr">
        <is>
          <t>Thick, tropical</t>
        </is>
      </c>
    </row>
    <row r="9">
      <c r="A9" t="inlineStr">
        <is>
          <t>Lemon</t>
        </is>
      </c>
      <c r="B9" t="n">
        <v>2.5</v>
      </c>
      <c r="C9" t="n">
        <v>2</v>
      </c>
      <c r="D9" t="n">
        <v>9</v>
      </c>
      <c r="E9" t="inlineStr">
        <is>
          <t>Mainly acidity</t>
        </is>
      </c>
    </row>
    <row r="10">
      <c r="A10" t="inlineStr">
        <is>
          <t>Lime</t>
        </is>
      </c>
      <c r="B10" t="n">
        <v>2</v>
      </c>
      <c r="C10" t="n">
        <v>2</v>
      </c>
      <c r="D10" t="n">
        <v>9</v>
      </c>
      <c r="E10" t="inlineStr">
        <is>
          <t>Sharp acidity</t>
        </is>
      </c>
    </row>
    <row r="11">
      <c r="A11" t="inlineStr">
        <is>
          <t>Banana</t>
        </is>
      </c>
      <c r="B11" t="n">
        <v>12</v>
      </c>
      <c r="C11" t="n">
        <v>8</v>
      </c>
      <c r="D11" t="n">
        <v>1</v>
      </c>
      <c r="E11" t="inlineStr">
        <is>
          <t>Body, texture</t>
        </is>
      </c>
    </row>
    <row r="12">
      <c r="A12" t="inlineStr">
        <is>
          <t>Blueberry</t>
        </is>
      </c>
      <c r="B12" t="n">
        <v>10</v>
      </c>
      <c r="C12" t="n">
        <v>6</v>
      </c>
      <c r="D12" t="n">
        <v>4</v>
      </c>
      <c r="E12" t="inlineStr">
        <is>
          <t>Berry, premium</t>
        </is>
      </c>
    </row>
    <row r="13">
      <c r="A13" t="inlineStr">
        <is>
          <t>Strawberry</t>
        </is>
      </c>
      <c r="B13" t="n">
        <v>5</v>
      </c>
      <c r="C13" t="n">
        <v>5</v>
      </c>
      <c r="D13" t="n">
        <v>4</v>
      </c>
      <c r="E13" t="inlineStr">
        <is>
          <t>Aromatic</t>
        </is>
      </c>
    </row>
    <row r="14">
      <c r="A14" t="inlineStr">
        <is>
          <t>Raspberry</t>
        </is>
      </c>
      <c r="B14" t="n">
        <v>4</v>
      </c>
      <c r="C14" t="n">
        <v>4</v>
      </c>
      <c r="D14" t="n">
        <v>6</v>
      </c>
      <c r="E14" t="inlineStr">
        <is>
          <t>Tart berry</t>
        </is>
      </c>
    </row>
    <row r="15">
      <c r="A15" t="inlineStr">
        <is>
          <t>Blackberry</t>
        </is>
      </c>
      <c r="B15" t="n">
        <v>5</v>
      </c>
      <c r="C15" t="n">
        <v>5</v>
      </c>
      <c r="D15" t="n">
        <v>5</v>
      </c>
      <c r="E15" t="inlineStr">
        <is>
          <t>Dark berry</t>
        </is>
      </c>
    </row>
    <row r="16">
      <c r="A16" t="inlineStr">
        <is>
          <t>Cherry</t>
        </is>
      </c>
      <c r="B16" t="n">
        <v>13</v>
      </c>
      <c r="C16" t="n">
        <v>7</v>
      </c>
      <c r="D16" t="n">
        <v>5</v>
      </c>
      <c r="E16" t="inlineStr">
        <is>
          <t>Rich, red</t>
        </is>
      </c>
    </row>
    <row r="17">
      <c r="A17" t="inlineStr">
        <is>
          <t>Cranberry (unsweet)</t>
        </is>
      </c>
      <c r="B17" t="n">
        <v>4</v>
      </c>
      <c r="C17" t="n">
        <v>2</v>
      </c>
      <c r="D17" t="n">
        <v>9</v>
      </c>
      <c r="E17" t="inlineStr">
        <is>
          <t>Very tart</t>
        </is>
      </c>
    </row>
    <row r="18">
      <c r="A18" t="inlineStr">
        <is>
          <t>Passionfruit</t>
        </is>
      </c>
      <c r="B18" t="n">
        <v>11</v>
      </c>
      <c r="C18" t="n">
        <v>6</v>
      </c>
      <c r="D18" t="n">
        <v>8</v>
      </c>
      <c r="E18" t="inlineStr">
        <is>
          <t>Strong aroma</t>
        </is>
      </c>
    </row>
    <row r="19">
      <c r="A19" t="inlineStr">
        <is>
          <t>Lychee</t>
        </is>
      </c>
      <c r="B19" t="n">
        <v>15</v>
      </c>
      <c r="C19" t="n">
        <v>9</v>
      </c>
      <c r="D19" t="n">
        <v>3</v>
      </c>
      <c r="E19" t="inlineStr">
        <is>
          <t>Floral, sweet</t>
        </is>
      </c>
    </row>
    <row r="20">
      <c r="A20" t="inlineStr">
        <is>
          <t>Guava</t>
        </is>
      </c>
      <c r="B20" t="n">
        <v>7</v>
      </c>
      <c r="C20" t="n">
        <v>6</v>
      </c>
      <c r="D20" t="n">
        <v>5</v>
      </c>
      <c r="E20" t="inlineStr">
        <is>
          <t>Tropical</t>
        </is>
      </c>
    </row>
    <row r="21">
      <c r="A21" t="inlineStr">
        <is>
          <t>Dragonfruit (red)</t>
        </is>
      </c>
      <c r="B21" t="n">
        <v>4</v>
      </c>
      <c r="C21" t="n">
        <v>3</v>
      </c>
      <c r="D21" t="n">
        <v>3</v>
      </c>
      <c r="E21" t="inlineStr">
        <is>
          <t>Colour, light flavour</t>
        </is>
      </c>
    </row>
    <row r="22">
      <c r="A22" t="inlineStr">
        <is>
          <t>Papaya</t>
        </is>
      </c>
      <c r="B22" t="n">
        <v>5.5</v>
      </c>
      <c r="C22" t="n">
        <v>5</v>
      </c>
      <c r="D22" t="n">
        <v>2</v>
      </c>
      <c r="E22" t="inlineStr">
        <is>
          <t>Body</t>
        </is>
      </c>
    </row>
    <row r="23">
      <c r="A23" t="inlineStr">
        <is>
          <t>Kiwi</t>
        </is>
      </c>
      <c r="B23" t="n">
        <v>9</v>
      </c>
      <c r="C23" t="n">
        <v>6</v>
      </c>
      <c r="D23" t="n">
        <v>6</v>
      </c>
      <c r="E23" t="inlineStr">
        <is>
          <t>Green, tart</t>
        </is>
      </c>
    </row>
    <row r="24">
      <c r="A24" t="inlineStr">
        <is>
          <t>Pear</t>
        </is>
      </c>
      <c r="B24" t="n">
        <v>10.5</v>
      </c>
      <c r="C24" t="n">
        <v>6</v>
      </c>
      <c r="D24" t="n">
        <v>3</v>
      </c>
      <c r="E24" t="inlineStr">
        <is>
          <t>Soft, 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t="inlineStr">
        <is>
          <t>Fruit</t>
        </is>
      </c>
      <c r="B1" t="inlineStr">
        <is>
          <t>Sugar_g_per_100ml</t>
        </is>
      </c>
      <c r="C1" t="inlineStr">
        <is>
          <t>Target_Sugar_g_per_L</t>
        </is>
      </c>
      <c r="D1" t="inlineStr">
        <is>
          <t>Required_Juice_ml_per_L</t>
        </is>
      </c>
      <c r="E1" t="inlineStr">
        <is>
          <t>CO2_Vols</t>
        </is>
      </c>
      <c r="F1" t="inlineStr">
        <is>
          <t>ABV_percent</t>
        </is>
      </c>
      <c r="G1" t="inlineStr">
        <is>
          <t>Safety_Flag</t>
        </is>
      </c>
    </row>
    <row r="2">
      <c r="B2">
        <f>IFERROR(XLOOKUP(A2,FruitMaster!$A$2:$A$100,FruitMaster!$B$2:$B$100),"")</f>
        <v/>
      </c>
      <c r="C2" t="n">
        <v>7</v>
      </c>
      <c r="D2">
        <f>IFERROR(C2*100/B2,"")</f>
        <v/>
      </c>
      <c r="E2">
        <f>C2*0.24</f>
        <v/>
      </c>
      <c r="F2">
        <f>C2*0.065</f>
        <v/>
      </c>
      <c r="G2">
        <f>IF(C2&gt;8,"Too high – reduce","OK (≤8 g/L)")</f>
        <v/>
      </c>
    </row>
    <row r="3">
      <c r="B3">
        <f>IFERROR(XLOOKUP(A3,FruitMaster!$A$2:$A$100,FruitMaster!$B$2:$B$100),"")</f>
        <v/>
      </c>
      <c r="C3" t="n">
        <v>7</v>
      </c>
      <c r="D3">
        <f>IFERROR(C3*100/B3,"")</f>
        <v/>
      </c>
      <c r="E3">
        <f>C3*0.24</f>
        <v/>
      </c>
      <c r="F3">
        <f>C3*0.065</f>
        <v/>
      </c>
      <c r="G3">
        <f>IF(C3&gt;8,"Too high – reduce","OK (≤8 g/L)")</f>
        <v/>
      </c>
    </row>
    <row r="4">
      <c r="B4">
        <f>IFERROR(XLOOKUP(A4,FruitMaster!$A$2:$A$100,FruitMaster!$B$2:$B$100),"")</f>
        <v/>
      </c>
      <c r="C4" t="n">
        <v>7</v>
      </c>
      <c r="D4">
        <f>IFERROR(C4*100/B4,"")</f>
        <v/>
      </c>
      <c r="E4">
        <f>C4*0.24</f>
        <v/>
      </c>
      <c r="F4">
        <f>C4*0.065</f>
        <v/>
      </c>
      <c r="G4">
        <f>IF(C4&gt;8,"Too high – reduce","OK (≤8 g/L)")</f>
        <v/>
      </c>
    </row>
    <row r="5">
      <c r="B5">
        <f>IFERROR(XLOOKUP(A5,FruitMaster!$A$2:$A$100,FruitMaster!$B$2:$B$100),"")</f>
        <v/>
      </c>
      <c r="C5" t="n">
        <v>7</v>
      </c>
      <c r="D5">
        <f>IFERROR(C5*100/B5,"")</f>
        <v/>
      </c>
      <c r="E5">
        <f>C5*0.24</f>
        <v/>
      </c>
      <c r="F5">
        <f>C5*0.065</f>
        <v/>
      </c>
      <c r="G5">
        <f>IF(C5&gt;8,"Too high – reduce","OK (≤8 g/L)")</f>
        <v/>
      </c>
    </row>
    <row r="6">
      <c r="B6">
        <f>IFERROR(XLOOKUP(A6,FruitMaster!$A$2:$A$100,FruitMaster!$B$2:$B$100),"")</f>
        <v/>
      </c>
      <c r="C6" t="n">
        <v>7</v>
      </c>
      <c r="D6">
        <f>IFERROR(C6*100/B6,"")</f>
        <v/>
      </c>
      <c r="E6">
        <f>C6*0.24</f>
        <v/>
      </c>
      <c r="F6">
        <f>C6*0.065</f>
        <v/>
      </c>
      <c r="G6">
        <f>IF(C6&gt;8,"Too high – reduce","OK (≤8 g/L)")</f>
        <v/>
      </c>
    </row>
    <row r="7">
      <c r="B7">
        <f>IFERROR(XLOOKUP(A7,FruitMaster!$A$2:$A$100,FruitMaster!$B$2:$B$100),"")</f>
        <v/>
      </c>
      <c r="C7" t="n">
        <v>7</v>
      </c>
      <c r="D7">
        <f>IFERROR(C7*100/B7,"")</f>
        <v/>
      </c>
      <c r="E7">
        <f>C7*0.24</f>
        <v/>
      </c>
      <c r="F7">
        <f>C7*0.065</f>
        <v/>
      </c>
      <c r="G7">
        <f>IF(C7&gt;8,"Too high – reduce","OK (≤8 g/L)")</f>
        <v/>
      </c>
    </row>
    <row r="8">
      <c r="B8">
        <f>IFERROR(XLOOKUP(A8,FruitMaster!$A$2:$A$100,FruitMaster!$B$2:$B$100),"")</f>
        <v/>
      </c>
      <c r="C8" t="n">
        <v>7</v>
      </c>
      <c r="D8">
        <f>IFERROR(C8*100/B8,"")</f>
        <v/>
      </c>
      <c r="E8">
        <f>C8*0.24</f>
        <v/>
      </c>
      <c r="F8">
        <f>C8*0.065</f>
        <v/>
      </c>
      <c r="G8">
        <f>IF(C8&gt;8,"Too high – reduce","OK (≤8 g/L)")</f>
        <v/>
      </c>
    </row>
    <row r="9">
      <c r="B9">
        <f>IFERROR(XLOOKUP(A9,FruitMaster!$A$2:$A$100,FruitMaster!$B$2:$B$100),"")</f>
        <v/>
      </c>
      <c r="C9" t="n">
        <v>7</v>
      </c>
      <c r="D9">
        <f>IFERROR(C9*100/B9,"")</f>
        <v/>
      </c>
      <c r="E9">
        <f>C9*0.24</f>
        <v/>
      </c>
      <c r="F9">
        <f>C9*0.065</f>
        <v/>
      </c>
      <c r="G9">
        <f>IF(C9&gt;8,"Too high – reduce","OK (≤8 g/L)")</f>
        <v/>
      </c>
    </row>
    <row r="10">
      <c r="B10">
        <f>IFERROR(XLOOKUP(A10,FruitMaster!$A$2:$A$100,FruitMaster!$B$2:$B$100),"")</f>
        <v/>
      </c>
      <c r="C10" t="n">
        <v>7</v>
      </c>
      <c r="D10">
        <f>IFERROR(C10*100/B10,"")</f>
        <v/>
      </c>
      <c r="E10">
        <f>C10*0.24</f>
        <v/>
      </c>
      <c r="F10">
        <f>C10*0.065</f>
        <v/>
      </c>
      <c r="G10">
        <f>IF(C10&gt;8,"Too high – reduce","OK (≤8 g/L)")</f>
        <v/>
      </c>
    </row>
    <row r="11">
      <c r="B11">
        <f>IFERROR(XLOOKUP(A11,FruitMaster!$A$2:$A$100,FruitMaster!$B$2:$B$100),"")</f>
        <v/>
      </c>
      <c r="C11" t="n">
        <v>7</v>
      </c>
      <c r="D11">
        <f>IFERROR(C11*100/B11,"")</f>
        <v/>
      </c>
      <c r="E11">
        <f>C11*0.24</f>
        <v/>
      </c>
      <c r="F11">
        <f>C11*0.065</f>
        <v/>
      </c>
      <c r="G11">
        <f>IF(C11&gt;8,"Too high – reduce","OK (≤8 g/L)")</f>
        <v/>
      </c>
    </row>
    <row r="12">
      <c r="B12">
        <f>IFERROR(XLOOKUP(A12,FruitMaster!$A$2:$A$100,FruitMaster!$B$2:$B$100),"")</f>
        <v/>
      </c>
      <c r="C12" t="n">
        <v>7</v>
      </c>
      <c r="D12">
        <f>IFERROR(C12*100/B12,"")</f>
        <v/>
      </c>
      <c r="E12">
        <f>C12*0.24</f>
        <v/>
      </c>
      <c r="F12">
        <f>C12*0.065</f>
        <v/>
      </c>
      <c r="G12">
        <f>IF(C12&gt;8,"Too high – reduce","OK (≤8 g/L)")</f>
        <v/>
      </c>
    </row>
    <row r="13">
      <c r="B13">
        <f>IFERROR(XLOOKUP(A13,FruitMaster!$A$2:$A$100,FruitMaster!$B$2:$B$100),"")</f>
        <v/>
      </c>
      <c r="C13" t="n">
        <v>7</v>
      </c>
      <c r="D13">
        <f>IFERROR(C13*100/B13,"")</f>
        <v/>
      </c>
      <c r="E13">
        <f>C13*0.24</f>
        <v/>
      </c>
      <c r="F13">
        <f>C13*0.065</f>
        <v/>
      </c>
      <c r="G13">
        <f>IF(C13&gt;8,"Too high – reduce","OK (≤8 g/L)")</f>
        <v/>
      </c>
    </row>
    <row r="14">
      <c r="B14">
        <f>IFERROR(XLOOKUP(A14,FruitMaster!$A$2:$A$100,FruitMaster!$B$2:$B$100),"")</f>
        <v/>
      </c>
      <c r="C14" t="n">
        <v>7</v>
      </c>
      <c r="D14">
        <f>IFERROR(C14*100/B14,"")</f>
        <v/>
      </c>
      <c r="E14">
        <f>C14*0.24</f>
        <v/>
      </c>
      <c r="F14">
        <f>C14*0.065</f>
        <v/>
      </c>
      <c r="G14">
        <f>IF(C14&gt;8,"Too high – reduce","OK (≤8 g/L)")</f>
        <v/>
      </c>
    </row>
    <row r="15">
      <c r="B15">
        <f>IFERROR(XLOOKUP(A15,FruitMaster!$A$2:$A$100,FruitMaster!$B$2:$B$100),"")</f>
        <v/>
      </c>
      <c r="C15" t="n">
        <v>7</v>
      </c>
      <c r="D15">
        <f>IFERROR(C15*100/B15,"")</f>
        <v/>
      </c>
      <c r="E15">
        <f>C15*0.24</f>
        <v/>
      </c>
      <c r="F15">
        <f>C15*0.065</f>
        <v/>
      </c>
      <c r="G15">
        <f>IF(C15&gt;8,"Too high – reduce","OK (≤8 g/L)")</f>
        <v/>
      </c>
    </row>
    <row r="16">
      <c r="B16">
        <f>IFERROR(XLOOKUP(A16,FruitMaster!$A$2:$A$100,FruitMaster!$B$2:$B$100),"")</f>
        <v/>
      </c>
      <c r="C16" t="n">
        <v>7</v>
      </c>
      <c r="D16">
        <f>IFERROR(C16*100/B16,"")</f>
        <v/>
      </c>
      <c r="E16">
        <f>C16*0.24</f>
        <v/>
      </c>
      <c r="F16">
        <f>C16*0.065</f>
        <v/>
      </c>
      <c r="G16">
        <f>IF(C16&gt;8,"Too high – reduce","OK (≤8 g/L)")</f>
        <v/>
      </c>
    </row>
    <row r="17">
      <c r="B17">
        <f>IFERROR(XLOOKUP(A17,FruitMaster!$A$2:$A$100,FruitMaster!$B$2:$B$100),"")</f>
        <v/>
      </c>
      <c r="C17" t="n">
        <v>7</v>
      </c>
      <c r="D17">
        <f>IFERROR(C17*100/B17,"")</f>
        <v/>
      </c>
      <c r="E17">
        <f>C17*0.24</f>
        <v/>
      </c>
      <c r="F17">
        <f>C17*0.065</f>
        <v/>
      </c>
      <c r="G17">
        <f>IF(C17&gt;8,"Too high – reduce","OK (≤8 g/L)")</f>
        <v/>
      </c>
    </row>
    <row r="18">
      <c r="B18">
        <f>IFERROR(XLOOKUP(A18,FruitMaster!$A$2:$A$100,FruitMaster!$B$2:$B$100),"")</f>
        <v/>
      </c>
      <c r="C18" t="n">
        <v>7</v>
      </c>
      <c r="D18">
        <f>IFERROR(C18*100/B18,"")</f>
        <v/>
      </c>
      <c r="E18">
        <f>C18*0.24</f>
        <v/>
      </c>
      <c r="F18">
        <f>C18*0.065</f>
        <v/>
      </c>
      <c r="G18">
        <f>IF(C18&gt;8,"Too high – reduce","OK (≤8 g/L)")</f>
        <v/>
      </c>
    </row>
    <row r="19">
      <c r="B19">
        <f>IFERROR(XLOOKUP(A19,FruitMaster!$A$2:$A$100,FruitMaster!$B$2:$B$100),"")</f>
        <v/>
      </c>
      <c r="C19" t="n">
        <v>7</v>
      </c>
      <c r="D19">
        <f>IFERROR(C19*100/B19,"")</f>
        <v/>
      </c>
      <c r="E19">
        <f>C19*0.24</f>
        <v/>
      </c>
      <c r="F19">
        <f>C19*0.065</f>
        <v/>
      </c>
      <c r="G19">
        <f>IF(C19&gt;8,"Too high – reduce","OK (≤8 g/L)")</f>
        <v/>
      </c>
    </row>
    <row r="20">
      <c r="B20">
        <f>IFERROR(XLOOKUP(A20,FruitMaster!$A$2:$A$100,FruitMaster!$B$2:$B$100),"")</f>
        <v/>
      </c>
      <c r="C20" t="n">
        <v>7</v>
      </c>
      <c r="D20">
        <f>IFERROR(C20*100/B20,"")</f>
        <v/>
      </c>
      <c r="E20">
        <f>C20*0.24</f>
        <v/>
      </c>
      <c r="F20">
        <f>C20*0.065</f>
        <v/>
      </c>
      <c r="G20">
        <f>IF(C20&gt;8,"Too high – reduce","OK (≤8 g/L)")</f>
        <v/>
      </c>
    </row>
    <row r="21">
      <c r="B21">
        <f>IFERROR(XLOOKUP(A21,FruitMaster!$A$2:$A$100,FruitMaster!$B$2:$B$100),"")</f>
        <v/>
      </c>
      <c r="C21" t="n">
        <v>7</v>
      </c>
      <c r="D21">
        <f>IFERROR(C21*100/B21,"")</f>
        <v/>
      </c>
      <c r="E21">
        <f>C21*0.24</f>
        <v/>
      </c>
      <c r="F21">
        <f>C21*0.065</f>
        <v/>
      </c>
      <c r="G21">
        <f>IF(C21&gt;8,"Too high – reduce","OK (≤8 g/L)")</f>
        <v/>
      </c>
    </row>
    <row r="22">
      <c r="B22">
        <f>IFERROR(XLOOKUP(A22,FruitMaster!$A$2:$A$100,FruitMaster!$B$2:$B$100),"")</f>
        <v/>
      </c>
      <c r="C22" t="n">
        <v>7</v>
      </c>
      <c r="D22">
        <f>IFERROR(C22*100/B22,"")</f>
        <v/>
      </c>
      <c r="E22">
        <f>C22*0.24</f>
        <v/>
      </c>
      <c r="F22">
        <f>C22*0.065</f>
        <v/>
      </c>
      <c r="G22">
        <f>IF(C22&gt;8,"Too high – reduce","OK (≤8 g/L)")</f>
        <v/>
      </c>
    </row>
    <row r="23">
      <c r="B23">
        <f>IFERROR(XLOOKUP(A23,FruitMaster!$A$2:$A$100,FruitMaster!$B$2:$B$100),"")</f>
        <v/>
      </c>
      <c r="C23" t="n">
        <v>7</v>
      </c>
      <c r="D23">
        <f>IFERROR(C23*100/B23,"")</f>
        <v/>
      </c>
      <c r="E23">
        <f>C23*0.24</f>
        <v/>
      </c>
      <c r="F23">
        <f>C23*0.065</f>
        <v/>
      </c>
      <c r="G23">
        <f>IF(C23&gt;8,"Too high – reduce","OK (≤8 g/L)")</f>
        <v/>
      </c>
    </row>
    <row r="24">
      <c r="B24">
        <f>IFERROR(XLOOKUP(A24,FruitMaster!$A$2:$A$100,FruitMaster!$B$2:$B$100),"")</f>
        <v/>
      </c>
      <c r="C24" t="n">
        <v>7</v>
      </c>
      <c r="D24">
        <f>IFERROR(C24*100/B24,"")</f>
        <v/>
      </c>
      <c r="E24">
        <f>C24*0.24</f>
        <v/>
      </c>
      <c r="F24">
        <f>C24*0.065</f>
        <v/>
      </c>
      <c r="G24">
        <f>IF(C24&gt;8,"Too high – reduce","OK (≤8 g/L)")</f>
        <v/>
      </c>
    </row>
    <row r="25">
      <c r="B25">
        <f>IFERROR(XLOOKUP(A25,FruitMaster!$A$2:$A$100,FruitMaster!$B$2:$B$100),"")</f>
        <v/>
      </c>
      <c r="C25" t="n">
        <v>7</v>
      </c>
      <c r="D25">
        <f>IFERROR(C25*100/B25,"")</f>
        <v/>
      </c>
      <c r="E25">
        <f>C25*0.24</f>
        <v/>
      </c>
      <c r="F25">
        <f>C25*0.065</f>
        <v/>
      </c>
      <c r="G25">
        <f>IF(C25&gt;8,"Too high – reduce","OK (≤8 g/L)")</f>
        <v/>
      </c>
    </row>
    <row r="26">
      <c r="B26">
        <f>IFERROR(XLOOKUP(A26,FruitMaster!$A$2:$A$100,FruitMaster!$B$2:$B$100),"")</f>
        <v/>
      </c>
      <c r="C26" t="n">
        <v>7</v>
      </c>
      <c r="D26">
        <f>IFERROR(C26*100/B26,"")</f>
        <v/>
      </c>
      <c r="E26">
        <f>C26*0.24</f>
        <v/>
      </c>
      <c r="F26">
        <f>C26*0.065</f>
        <v/>
      </c>
      <c r="G26">
        <f>IF(C26&gt;8,"Too high – reduce","OK (≤8 g/L)")</f>
        <v/>
      </c>
    </row>
    <row r="27">
      <c r="B27">
        <f>IFERROR(XLOOKUP(A27,FruitMaster!$A$2:$A$100,FruitMaster!$B$2:$B$100),"")</f>
        <v/>
      </c>
      <c r="C27" t="n">
        <v>7</v>
      </c>
      <c r="D27">
        <f>IFERROR(C27*100/B27,"")</f>
        <v/>
      </c>
      <c r="E27">
        <f>C27*0.24</f>
        <v/>
      </c>
      <c r="F27">
        <f>C27*0.065</f>
        <v/>
      </c>
      <c r="G27">
        <f>IF(C27&gt;8,"Too high – reduce","OK (≤8 g/L)")</f>
        <v/>
      </c>
    </row>
    <row r="28">
      <c r="B28">
        <f>IFERROR(XLOOKUP(A28,FruitMaster!$A$2:$A$100,FruitMaster!$B$2:$B$100),"")</f>
        <v/>
      </c>
      <c r="C28" t="n">
        <v>7</v>
      </c>
      <c r="D28">
        <f>IFERROR(C28*100/B28,"")</f>
        <v/>
      </c>
      <c r="E28">
        <f>C28*0.24</f>
        <v/>
      </c>
      <c r="F28">
        <f>C28*0.065</f>
        <v/>
      </c>
      <c r="G28">
        <f>IF(C28&gt;8,"Too high – reduce","OK (≤8 g/L)")</f>
        <v/>
      </c>
    </row>
    <row r="29">
      <c r="B29">
        <f>IFERROR(XLOOKUP(A29,FruitMaster!$A$2:$A$100,FruitMaster!$B$2:$B$100),"")</f>
        <v/>
      </c>
      <c r="C29" t="n">
        <v>7</v>
      </c>
      <c r="D29">
        <f>IFERROR(C29*100/B29,"")</f>
        <v/>
      </c>
      <c r="E29">
        <f>C29*0.24</f>
        <v/>
      </c>
      <c r="F29">
        <f>C29*0.065</f>
        <v/>
      </c>
      <c r="G29">
        <f>IF(C29&gt;8,"Too high – reduce","OK (≤8 g/L)")</f>
        <v/>
      </c>
    </row>
    <row r="30">
      <c r="B30">
        <f>IFERROR(XLOOKUP(A30,FruitMaster!$A$2:$A$100,FruitMaster!$B$2:$B$100),"")</f>
        <v/>
      </c>
      <c r="C30" t="n">
        <v>7</v>
      </c>
      <c r="D30">
        <f>IFERROR(C30*100/B30,"")</f>
        <v/>
      </c>
      <c r="E30">
        <f>C30*0.24</f>
        <v/>
      </c>
      <c r="F30">
        <f>C30*0.065</f>
        <v/>
      </c>
      <c r="G30">
        <f>IF(C30&gt;8,"Too high – reduce","OK (≤8 g/L)")</f>
        <v/>
      </c>
    </row>
    <row r="31">
      <c r="B31">
        <f>IFERROR(XLOOKUP(A31,FruitMaster!$A$2:$A$100,FruitMaster!$B$2:$B$100),"")</f>
        <v/>
      </c>
      <c r="C31" t="n">
        <v>7</v>
      </c>
      <c r="D31">
        <f>IFERROR(C31*100/B31,"")</f>
        <v/>
      </c>
      <c r="E31">
        <f>C31*0.24</f>
        <v/>
      </c>
      <c r="F31">
        <f>C31*0.065</f>
        <v/>
      </c>
      <c r="G31">
        <f>IF(C31&gt;8,"Too high – reduce","OK (≤8 g/L)")</f>
        <v/>
      </c>
    </row>
  </sheetData>
  <dataValidations count="1">
    <dataValidation sqref="A2 A3 A4 A5 A6 A7 A8 A9 A10 A11 A12 A13 A14 A15 A16 A17 A18 A19 A20 A21 A22 A23 A24 A25 A26 A27 A28 A29 A30 A31" showErrorMessage="1" showInputMessage="1" allowBlank="1" type="list">
      <formula1>'FruitMaster'!$A$2:$A$24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t="inlineStr">
        <is>
          <t>Fruit1</t>
        </is>
      </c>
      <c r="B1" t="inlineStr">
        <is>
          <t>Pct1</t>
        </is>
      </c>
      <c r="C1" t="inlineStr">
        <is>
          <t>Sugar1_g_100ml</t>
        </is>
      </c>
      <c r="D1" t="inlineStr">
        <is>
          <t>Fruit2</t>
        </is>
      </c>
      <c r="E1" t="inlineStr">
        <is>
          <t>Pct2</t>
        </is>
      </c>
      <c r="F1" t="inlineStr">
        <is>
          <t>Sugar2_g_100ml</t>
        </is>
      </c>
      <c r="G1" t="inlineStr">
        <is>
          <t>Fruit3</t>
        </is>
      </c>
      <c r="H1" t="inlineStr">
        <is>
          <t>Pct3</t>
        </is>
      </c>
      <c r="I1" t="inlineStr">
        <is>
          <t>Sugar3_g_100ml</t>
        </is>
      </c>
      <c r="J1" t="inlineStr">
        <is>
          <t>Fruit4</t>
        </is>
      </c>
      <c r="K1" t="inlineStr">
        <is>
          <t>Pct4</t>
        </is>
      </c>
      <c r="L1" t="inlineStr">
        <is>
          <t>Sugar4_g_100ml</t>
        </is>
      </c>
      <c r="M1" t="inlineStr">
        <is>
          <t>Total_Juice_ml_per_L</t>
        </is>
      </c>
      <c r="N1" t="inlineStr">
        <is>
          <t>Juice1_ml_L</t>
        </is>
      </c>
      <c r="O1" t="inlineStr">
        <is>
          <t>Juice2_ml_L</t>
        </is>
      </c>
      <c r="P1" t="inlineStr">
        <is>
          <t>Juice3_ml_L</t>
        </is>
      </c>
      <c r="Q1" t="inlineStr">
        <is>
          <t>Juice4_ml_L</t>
        </is>
      </c>
      <c r="R1" t="inlineStr">
        <is>
          <t>Total_Sugar_g_L</t>
        </is>
      </c>
      <c r="S1" t="inlineStr">
        <is>
          <t>CO2_Vols</t>
        </is>
      </c>
      <c r="T1" t="inlineStr">
        <is>
          <t>ABV_percent</t>
        </is>
      </c>
      <c r="U1" t="inlineStr">
        <is>
          <t>Safety_Flag</t>
        </is>
      </c>
    </row>
    <row r="2">
      <c r="B2" t="n">
        <v>0.25</v>
      </c>
      <c r="C2">
        <f>IFERROR(XLOOKUP(A2,FruitMaster!$A$2:$A$100,FruitMaster!$B$2:$B$100),"")</f>
        <v/>
      </c>
      <c r="E2" t="n">
        <v>0.25</v>
      </c>
      <c r="F2">
        <f>IFERROR(XLOOKUP(D2,FruitMaster!$A$2:$A$100,FruitMaster!$B$2:$B$100),"")</f>
        <v/>
      </c>
      <c r="H2" t="n">
        <v>0.25</v>
      </c>
      <c r="I2">
        <f>IFERROR(XLOOKUP(G2,FruitMaster!$A$2:$A$100,FruitMaster!$B$2:$B$100),"")</f>
        <v/>
      </c>
      <c r="K2" t="n">
        <v>0.25</v>
      </c>
      <c r="L2">
        <f>IFERROR(XLOOKUP(J2,FruitMaster!$A$2:$A$100,FruitMaster!$B$2:$B$100),"")</f>
        <v/>
      </c>
      <c r="M2" t="n">
        <v>80</v>
      </c>
      <c r="N2">
        <f>M2*B2</f>
        <v/>
      </c>
      <c r="O2">
        <f>M2*E2</f>
        <v/>
      </c>
      <c r="P2">
        <f>M2*H2</f>
        <v/>
      </c>
      <c r="Q2">
        <f>M2*K2</f>
        <v/>
      </c>
      <c r="R2">
        <f>C2*N2/100 + F2*O2/100 + I2*P2/100 + L2*Q2/100</f>
        <v/>
      </c>
      <c r="S2">
        <f>R2*0.24</f>
        <v/>
      </c>
      <c r="T2">
        <f>R2*0.065</f>
        <v/>
      </c>
      <c r="U2">
        <f>IF(R2&gt;8,"Too high – reduce","OK (≤8 g/L)")</f>
        <v/>
      </c>
    </row>
    <row r="3">
      <c r="B3" t="n">
        <v>0.25</v>
      </c>
      <c r="C3">
        <f>IFERROR(XLOOKUP(A3,FruitMaster!$A$2:$A$100,FruitMaster!$B$2:$B$100),"")</f>
        <v/>
      </c>
      <c r="E3" t="n">
        <v>0.25</v>
      </c>
      <c r="F3">
        <f>IFERROR(XLOOKUP(D3,FruitMaster!$A$2:$A$100,FruitMaster!$B$2:$B$100),"")</f>
        <v/>
      </c>
      <c r="H3" t="n">
        <v>0.25</v>
      </c>
      <c r="I3">
        <f>IFERROR(XLOOKUP(G3,FruitMaster!$A$2:$A$100,FruitMaster!$B$2:$B$100),"")</f>
        <v/>
      </c>
      <c r="K3" t="n">
        <v>0.25</v>
      </c>
      <c r="L3">
        <f>IFERROR(XLOOKUP(J3,FruitMaster!$A$2:$A$100,FruitMaster!$B$2:$B$100),"")</f>
        <v/>
      </c>
      <c r="M3" t="n">
        <v>80</v>
      </c>
      <c r="N3">
        <f>M3*B3</f>
        <v/>
      </c>
      <c r="O3">
        <f>M3*E3</f>
        <v/>
      </c>
      <c r="P3">
        <f>M3*H3</f>
        <v/>
      </c>
      <c r="Q3">
        <f>M3*K3</f>
        <v/>
      </c>
      <c r="R3">
        <f>C3*N3/100 + F3*O3/100 + I3*P3/100 + L3*Q3/100</f>
        <v/>
      </c>
      <c r="S3">
        <f>R3*0.24</f>
        <v/>
      </c>
      <c r="T3">
        <f>R3*0.065</f>
        <v/>
      </c>
      <c r="U3">
        <f>IF(R3&gt;8,"Too high – reduce","OK (≤8 g/L)")</f>
        <v/>
      </c>
    </row>
    <row r="4">
      <c r="B4" t="n">
        <v>0.25</v>
      </c>
      <c r="C4">
        <f>IFERROR(XLOOKUP(A4,FruitMaster!$A$2:$A$100,FruitMaster!$B$2:$B$100),"")</f>
        <v/>
      </c>
      <c r="E4" t="n">
        <v>0.25</v>
      </c>
      <c r="F4">
        <f>IFERROR(XLOOKUP(D4,FruitMaster!$A$2:$A$100,FruitMaster!$B$2:$B$100),"")</f>
        <v/>
      </c>
      <c r="H4" t="n">
        <v>0.25</v>
      </c>
      <c r="I4">
        <f>IFERROR(XLOOKUP(G4,FruitMaster!$A$2:$A$100,FruitMaster!$B$2:$B$100),"")</f>
        <v/>
      </c>
      <c r="K4" t="n">
        <v>0.25</v>
      </c>
      <c r="L4">
        <f>IFERROR(XLOOKUP(J4,FruitMaster!$A$2:$A$100,FruitMaster!$B$2:$B$100),"")</f>
        <v/>
      </c>
      <c r="M4" t="n">
        <v>80</v>
      </c>
      <c r="N4">
        <f>M4*B4</f>
        <v/>
      </c>
      <c r="O4">
        <f>M4*E4</f>
        <v/>
      </c>
      <c r="P4">
        <f>M4*H4</f>
        <v/>
      </c>
      <c r="Q4">
        <f>M4*K4</f>
        <v/>
      </c>
      <c r="R4">
        <f>C4*N4/100 + F4*O4/100 + I4*P4/100 + L4*Q4/100</f>
        <v/>
      </c>
      <c r="S4">
        <f>R4*0.24</f>
        <v/>
      </c>
      <c r="T4">
        <f>R4*0.065</f>
        <v/>
      </c>
      <c r="U4">
        <f>IF(R4&gt;8,"Too high – reduce","OK (≤8 g/L)")</f>
        <v/>
      </c>
    </row>
    <row r="5">
      <c r="B5" t="n">
        <v>0.25</v>
      </c>
      <c r="C5">
        <f>IFERROR(XLOOKUP(A5,FruitMaster!$A$2:$A$100,FruitMaster!$B$2:$B$100),"")</f>
        <v/>
      </c>
      <c r="E5" t="n">
        <v>0.25</v>
      </c>
      <c r="F5">
        <f>IFERROR(XLOOKUP(D5,FruitMaster!$A$2:$A$100,FruitMaster!$B$2:$B$100),"")</f>
        <v/>
      </c>
      <c r="H5" t="n">
        <v>0.25</v>
      </c>
      <c r="I5">
        <f>IFERROR(XLOOKUP(G5,FruitMaster!$A$2:$A$100,FruitMaster!$B$2:$B$100),"")</f>
        <v/>
      </c>
      <c r="K5" t="n">
        <v>0.25</v>
      </c>
      <c r="L5">
        <f>IFERROR(XLOOKUP(J5,FruitMaster!$A$2:$A$100,FruitMaster!$B$2:$B$100),"")</f>
        <v/>
      </c>
      <c r="M5" t="n">
        <v>80</v>
      </c>
      <c r="N5">
        <f>M5*B5</f>
        <v/>
      </c>
      <c r="O5">
        <f>M5*E5</f>
        <v/>
      </c>
      <c r="P5">
        <f>M5*H5</f>
        <v/>
      </c>
      <c r="Q5">
        <f>M5*K5</f>
        <v/>
      </c>
      <c r="R5">
        <f>C5*N5/100 + F5*O5/100 + I5*P5/100 + L5*Q5/100</f>
        <v/>
      </c>
      <c r="S5">
        <f>R5*0.24</f>
        <v/>
      </c>
      <c r="T5">
        <f>R5*0.065</f>
        <v/>
      </c>
      <c r="U5">
        <f>IF(R5&gt;8,"Too high – reduce","OK (≤8 g/L)")</f>
        <v/>
      </c>
    </row>
    <row r="6">
      <c r="B6" t="n">
        <v>0.25</v>
      </c>
      <c r="C6">
        <f>IFERROR(XLOOKUP(A6,FruitMaster!$A$2:$A$100,FruitMaster!$B$2:$B$100),"")</f>
        <v/>
      </c>
      <c r="E6" t="n">
        <v>0.25</v>
      </c>
      <c r="F6">
        <f>IFERROR(XLOOKUP(D6,FruitMaster!$A$2:$A$100,FruitMaster!$B$2:$B$100),"")</f>
        <v/>
      </c>
      <c r="H6" t="n">
        <v>0.25</v>
      </c>
      <c r="I6">
        <f>IFERROR(XLOOKUP(G6,FruitMaster!$A$2:$A$100,FruitMaster!$B$2:$B$100),"")</f>
        <v/>
      </c>
      <c r="K6" t="n">
        <v>0.25</v>
      </c>
      <c r="L6">
        <f>IFERROR(XLOOKUP(J6,FruitMaster!$A$2:$A$100,FruitMaster!$B$2:$B$100),"")</f>
        <v/>
      </c>
      <c r="M6" t="n">
        <v>80</v>
      </c>
      <c r="N6">
        <f>M6*B6</f>
        <v/>
      </c>
      <c r="O6">
        <f>M6*E6</f>
        <v/>
      </c>
      <c r="P6">
        <f>M6*H6</f>
        <v/>
      </c>
      <c r="Q6">
        <f>M6*K6</f>
        <v/>
      </c>
      <c r="R6">
        <f>C6*N6/100 + F6*O6/100 + I6*P6/100 + L6*Q6/100</f>
        <v/>
      </c>
      <c r="S6">
        <f>R6*0.24</f>
        <v/>
      </c>
      <c r="T6">
        <f>R6*0.065</f>
        <v/>
      </c>
      <c r="U6">
        <f>IF(R6&gt;8,"Too high – reduce","OK (≤8 g/L)")</f>
        <v/>
      </c>
    </row>
    <row r="7">
      <c r="B7" t="n">
        <v>0.25</v>
      </c>
      <c r="C7">
        <f>IFERROR(XLOOKUP(A7,FruitMaster!$A$2:$A$100,FruitMaster!$B$2:$B$100),"")</f>
        <v/>
      </c>
      <c r="E7" t="n">
        <v>0.25</v>
      </c>
      <c r="F7">
        <f>IFERROR(XLOOKUP(D7,FruitMaster!$A$2:$A$100,FruitMaster!$B$2:$B$100),"")</f>
        <v/>
      </c>
      <c r="H7" t="n">
        <v>0.25</v>
      </c>
      <c r="I7">
        <f>IFERROR(XLOOKUP(G7,FruitMaster!$A$2:$A$100,FruitMaster!$B$2:$B$100),"")</f>
        <v/>
      </c>
      <c r="K7" t="n">
        <v>0.25</v>
      </c>
      <c r="L7">
        <f>IFERROR(XLOOKUP(J7,FruitMaster!$A$2:$A$100,FruitMaster!$B$2:$B$100),"")</f>
        <v/>
      </c>
      <c r="M7" t="n">
        <v>80</v>
      </c>
      <c r="N7">
        <f>M7*B7</f>
        <v/>
      </c>
      <c r="O7">
        <f>M7*E7</f>
        <v/>
      </c>
      <c r="P7">
        <f>M7*H7</f>
        <v/>
      </c>
      <c r="Q7">
        <f>M7*K7</f>
        <v/>
      </c>
      <c r="R7">
        <f>C7*N7/100 + F7*O7/100 + I7*P7/100 + L7*Q7/100</f>
        <v/>
      </c>
      <c r="S7">
        <f>R7*0.24</f>
        <v/>
      </c>
      <c r="T7">
        <f>R7*0.065</f>
        <v/>
      </c>
      <c r="U7">
        <f>IF(R7&gt;8,"Too high – reduce","OK (≤8 g/L)")</f>
        <v/>
      </c>
    </row>
    <row r="8">
      <c r="B8" t="n">
        <v>0.25</v>
      </c>
      <c r="C8">
        <f>IFERROR(XLOOKUP(A8,FruitMaster!$A$2:$A$100,FruitMaster!$B$2:$B$100),"")</f>
        <v/>
      </c>
      <c r="E8" t="n">
        <v>0.25</v>
      </c>
      <c r="F8">
        <f>IFERROR(XLOOKUP(D8,FruitMaster!$A$2:$A$100,FruitMaster!$B$2:$B$100),"")</f>
        <v/>
      </c>
      <c r="H8" t="n">
        <v>0.25</v>
      </c>
      <c r="I8">
        <f>IFERROR(XLOOKUP(G8,FruitMaster!$A$2:$A$100,FruitMaster!$B$2:$B$100),"")</f>
        <v/>
      </c>
      <c r="K8" t="n">
        <v>0.25</v>
      </c>
      <c r="L8">
        <f>IFERROR(XLOOKUP(J8,FruitMaster!$A$2:$A$100,FruitMaster!$B$2:$B$100),"")</f>
        <v/>
      </c>
      <c r="M8" t="n">
        <v>80</v>
      </c>
      <c r="N8">
        <f>M8*B8</f>
        <v/>
      </c>
      <c r="O8">
        <f>M8*E8</f>
        <v/>
      </c>
      <c r="P8">
        <f>M8*H8</f>
        <v/>
      </c>
      <c r="Q8">
        <f>M8*K8</f>
        <v/>
      </c>
      <c r="R8">
        <f>C8*N8/100 + F8*O8/100 + I8*P8/100 + L8*Q8/100</f>
        <v/>
      </c>
      <c r="S8">
        <f>R8*0.24</f>
        <v/>
      </c>
      <c r="T8">
        <f>R8*0.065</f>
        <v/>
      </c>
      <c r="U8">
        <f>IF(R8&gt;8,"Too high – reduce","OK (≤8 g/L)")</f>
        <v/>
      </c>
    </row>
    <row r="9">
      <c r="B9" t="n">
        <v>0.25</v>
      </c>
      <c r="C9">
        <f>IFERROR(XLOOKUP(A9,FruitMaster!$A$2:$A$100,FruitMaster!$B$2:$B$100),"")</f>
        <v/>
      </c>
      <c r="E9" t="n">
        <v>0.25</v>
      </c>
      <c r="F9">
        <f>IFERROR(XLOOKUP(D9,FruitMaster!$A$2:$A$100,FruitMaster!$B$2:$B$100),"")</f>
        <v/>
      </c>
      <c r="H9" t="n">
        <v>0.25</v>
      </c>
      <c r="I9">
        <f>IFERROR(XLOOKUP(G9,FruitMaster!$A$2:$A$100,FruitMaster!$B$2:$B$100),"")</f>
        <v/>
      </c>
      <c r="K9" t="n">
        <v>0.25</v>
      </c>
      <c r="L9">
        <f>IFERROR(XLOOKUP(J9,FruitMaster!$A$2:$A$100,FruitMaster!$B$2:$B$100),"")</f>
        <v/>
      </c>
      <c r="M9" t="n">
        <v>80</v>
      </c>
      <c r="N9">
        <f>M9*B9</f>
        <v/>
      </c>
      <c r="O9">
        <f>M9*E9</f>
        <v/>
      </c>
      <c r="P9">
        <f>M9*H9</f>
        <v/>
      </c>
      <c r="Q9">
        <f>M9*K9</f>
        <v/>
      </c>
      <c r="R9">
        <f>C9*N9/100 + F9*O9/100 + I9*P9/100 + L9*Q9/100</f>
        <v/>
      </c>
      <c r="S9">
        <f>R9*0.24</f>
        <v/>
      </c>
      <c r="T9">
        <f>R9*0.065</f>
        <v/>
      </c>
      <c r="U9">
        <f>IF(R9&gt;8,"Too high – reduce","OK (≤8 g/L)")</f>
        <v/>
      </c>
    </row>
    <row r="10">
      <c r="B10" t="n">
        <v>0.25</v>
      </c>
      <c r="C10">
        <f>IFERROR(XLOOKUP(A10,FruitMaster!$A$2:$A$100,FruitMaster!$B$2:$B$100),"")</f>
        <v/>
      </c>
      <c r="E10" t="n">
        <v>0.25</v>
      </c>
      <c r="F10">
        <f>IFERROR(XLOOKUP(D10,FruitMaster!$A$2:$A$100,FruitMaster!$B$2:$B$100),"")</f>
        <v/>
      </c>
      <c r="H10" t="n">
        <v>0.25</v>
      </c>
      <c r="I10">
        <f>IFERROR(XLOOKUP(G10,FruitMaster!$A$2:$A$100,FruitMaster!$B$2:$B$100),"")</f>
        <v/>
      </c>
      <c r="K10" t="n">
        <v>0.25</v>
      </c>
      <c r="L10">
        <f>IFERROR(XLOOKUP(J10,FruitMaster!$A$2:$A$100,FruitMaster!$B$2:$B$100),"")</f>
        <v/>
      </c>
      <c r="M10" t="n">
        <v>80</v>
      </c>
      <c r="N10">
        <f>M10*B10</f>
        <v/>
      </c>
      <c r="O10">
        <f>M10*E10</f>
        <v/>
      </c>
      <c r="P10">
        <f>M10*H10</f>
        <v/>
      </c>
      <c r="Q10">
        <f>M10*K10</f>
        <v/>
      </c>
      <c r="R10">
        <f>C10*N10/100 + F10*O10/100 + I10*P10/100 + L10*Q10/100</f>
        <v/>
      </c>
      <c r="S10">
        <f>R10*0.24</f>
        <v/>
      </c>
      <c r="T10">
        <f>R10*0.065</f>
        <v/>
      </c>
      <c r="U10">
        <f>IF(R10&gt;8,"Too high – reduce","OK (≤8 g/L)")</f>
        <v/>
      </c>
    </row>
    <row r="11">
      <c r="B11" t="n">
        <v>0.25</v>
      </c>
      <c r="C11">
        <f>IFERROR(XLOOKUP(A11,FruitMaster!$A$2:$A$100,FruitMaster!$B$2:$B$100),"")</f>
        <v/>
      </c>
      <c r="E11" t="n">
        <v>0.25</v>
      </c>
      <c r="F11">
        <f>IFERROR(XLOOKUP(D11,FruitMaster!$A$2:$A$100,FruitMaster!$B$2:$B$100),"")</f>
        <v/>
      </c>
      <c r="H11" t="n">
        <v>0.25</v>
      </c>
      <c r="I11">
        <f>IFERROR(XLOOKUP(G11,FruitMaster!$A$2:$A$100,FruitMaster!$B$2:$B$100),"")</f>
        <v/>
      </c>
      <c r="K11" t="n">
        <v>0.25</v>
      </c>
      <c r="L11">
        <f>IFERROR(XLOOKUP(J11,FruitMaster!$A$2:$A$100,FruitMaster!$B$2:$B$100),"")</f>
        <v/>
      </c>
      <c r="M11" t="n">
        <v>80</v>
      </c>
      <c r="N11">
        <f>M11*B11</f>
        <v/>
      </c>
      <c r="O11">
        <f>M11*E11</f>
        <v/>
      </c>
      <c r="P11">
        <f>M11*H11</f>
        <v/>
      </c>
      <c r="Q11">
        <f>M11*K11</f>
        <v/>
      </c>
      <c r="R11">
        <f>C11*N11/100 + F11*O11/100 + I11*P11/100 + L11*Q11/100</f>
        <v/>
      </c>
      <c r="S11">
        <f>R11*0.24</f>
        <v/>
      </c>
      <c r="T11">
        <f>R11*0.065</f>
        <v/>
      </c>
      <c r="U11">
        <f>IF(R11&gt;8,"Too high – reduce","OK (≤8 g/L)")</f>
        <v/>
      </c>
    </row>
    <row r="12">
      <c r="B12" t="n">
        <v>0.25</v>
      </c>
      <c r="C12">
        <f>IFERROR(XLOOKUP(A12,FruitMaster!$A$2:$A$100,FruitMaster!$B$2:$B$100),"")</f>
        <v/>
      </c>
      <c r="E12" t="n">
        <v>0.25</v>
      </c>
      <c r="F12">
        <f>IFERROR(XLOOKUP(D12,FruitMaster!$A$2:$A$100,FruitMaster!$B$2:$B$100),"")</f>
        <v/>
      </c>
      <c r="H12" t="n">
        <v>0.25</v>
      </c>
      <c r="I12">
        <f>IFERROR(XLOOKUP(G12,FruitMaster!$A$2:$A$100,FruitMaster!$B$2:$B$100),"")</f>
        <v/>
      </c>
      <c r="K12" t="n">
        <v>0.25</v>
      </c>
      <c r="L12">
        <f>IFERROR(XLOOKUP(J12,FruitMaster!$A$2:$A$100,FruitMaster!$B$2:$B$100),"")</f>
        <v/>
      </c>
      <c r="M12" t="n">
        <v>80</v>
      </c>
      <c r="N12">
        <f>M12*B12</f>
        <v/>
      </c>
      <c r="O12">
        <f>M12*E12</f>
        <v/>
      </c>
      <c r="P12">
        <f>M12*H12</f>
        <v/>
      </c>
      <c r="Q12">
        <f>M12*K12</f>
        <v/>
      </c>
      <c r="R12">
        <f>C12*N12/100 + F12*O12/100 + I12*P12/100 + L12*Q12/100</f>
        <v/>
      </c>
      <c r="S12">
        <f>R12*0.24</f>
        <v/>
      </c>
      <c r="T12">
        <f>R12*0.065</f>
        <v/>
      </c>
      <c r="U12">
        <f>IF(R12&gt;8,"Too high – reduce","OK (≤8 g/L)")</f>
        <v/>
      </c>
    </row>
    <row r="13">
      <c r="B13" t="n">
        <v>0.25</v>
      </c>
      <c r="C13">
        <f>IFERROR(XLOOKUP(A13,FruitMaster!$A$2:$A$100,FruitMaster!$B$2:$B$100),"")</f>
        <v/>
      </c>
      <c r="E13" t="n">
        <v>0.25</v>
      </c>
      <c r="F13">
        <f>IFERROR(XLOOKUP(D13,FruitMaster!$A$2:$A$100,FruitMaster!$B$2:$B$100),"")</f>
        <v/>
      </c>
      <c r="H13" t="n">
        <v>0.25</v>
      </c>
      <c r="I13">
        <f>IFERROR(XLOOKUP(G13,FruitMaster!$A$2:$A$100,FruitMaster!$B$2:$B$100),"")</f>
        <v/>
      </c>
      <c r="K13" t="n">
        <v>0.25</v>
      </c>
      <c r="L13">
        <f>IFERROR(XLOOKUP(J13,FruitMaster!$A$2:$A$100,FruitMaster!$B$2:$B$100),"")</f>
        <v/>
      </c>
      <c r="M13" t="n">
        <v>80</v>
      </c>
      <c r="N13">
        <f>M13*B13</f>
        <v/>
      </c>
      <c r="O13">
        <f>M13*E13</f>
        <v/>
      </c>
      <c r="P13">
        <f>M13*H13</f>
        <v/>
      </c>
      <c r="Q13">
        <f>M13*K13</f>
        <v/>
      </c>
      <c r="R13">
        <f>C13*N13/100 + F13*O13/100 + I13*P13/100 + L13*Q13/100</f>
        <v/>
      </c>
      <c r="S13">
        <f>R13*0.24</f>
        <v/>
      </c>
      <c r="T13">
        <f>R13*0.065</f>
        <v/>
      </c>
      <c r="U13">
        <f>IF(R13&gt;8,"Too high – reduce","OK (≤8 g/L)")</f>
        <v/>
      </c>
    </row>
    <row r="14">
      <c r="B14" t="n">
        <v>0.25</v>
      </c>
      <c r="C14">
        <f>IFERROR(XLOOKUP(A14,FruitMaster!$A$2:$A$100,FruitMaster!$B$2:$B$100),"")</f>
        <v/>
      </c>
      <c r="E14" t="n">
        <v>0.25</v>
      </c>
      <c r="F14">
        <f>IFERROR(XLOOKUP(D14,FruitMaster!$A$2:$A$100,FruitMaster!$B$2:$B$100),"")</f>
        <v/>
      </c>
      <c r="H14" t="n">
        <v>0.25</v>
      </c>
      <c r="I14">
        <f>IFERROR(XLOOKUP(G14,FruitMaster!$A$2:$A$100,FruitMaster!$B$2:$B$100),"")</f>
        <v/>
      </c>
      <c r="K14" t="n">
        <v>0.25</v>
      </c>
      <c r="L14">
        <f>IFERROR(XLOOKUP(J14,FruitMaster!$A$2:$A$100,FruitMaster!$B$2:$B$100),"")</f>
        <v/>
      </c>
      <c r="M14" t="n">
        <v>80</v>
      </c>
      <c r="N14">
        <f>M14*B14</f>
        <v/>
      </c>
      <c r="O14">
        <f>M14*E14</f>
        <v/>
      </c>
      <c r="P14">
        <f>M14*H14</f>
        <v/>
      </c>
      <c r="Q14">
        <f>M14*K14</f>
        <v/>
      </c>
      <c r="R14">
        <f>C14*N14/100 + F14*O14/100 + I14*P14/100 + L14*Q14/100</f>
        <v/>
      </c>
      <c r="S14">
        <f>R14*0.24</f>
        <v/>
      </c>
      <c r="T14">
        <f>R14*0.065</f>
        <v/>
      </c>
      <c r="U14">
        <f>IF(R14&gt;8,"Too high – reduce","OK (≤8 g/L)")</f>
        <v/>
      </c>
    </row>
    <row r="15">
      <c r="B15" t="n">
        <v>0.25</v>
      </c>
      <c r="C15">
        <f>IFERROR(XLOOKUP(A15,FruitMaster!$A$2:$A$100,FruitMaster!$B$2:$B$100),"")</f>
        <v/>
      </c>
      <c r="E15" t="n">
        <v>0.25</v>
      </c>
      <c r="F15">
        <f>IFERROR(XLOOKUP(D15,FruitMaster!$A$2:$A$100,FruitMaster!$B$2:$B$100),"")</f>
        <v/>
      </c>
      <c r="H15" t="n">
        <v>0.25</v>
      </c>
      <c r="I15">
        <f>IFERROR(XLOOKUP(G15,FruitMaster!$A$2:$A$100,FruitMaster!$B$2:$B$100),"")</f>
        <v/>
      </c>
      <c r="K15" t="n">
        <v>0.25</v>
      </c>
      <c r="L15">
        <f>IFERROR(XLOOKUP(J15,FruitMaster!$A$2:$A$100,FruitMaster!$B$2:$B$100),"")</f>
        <v/>
      </c>
      <c r="M15" t="n">
        <v>80</v>
      </c>
      <c r="N15">
        <f>M15*B15</f>
        <v/>
      </c>
      <c r="O15">
        <f>M15*E15</f>
        <v/>
      </c>
      <c r="P15">
        <f>M15*H15</f>
        <v/>
      </c>
      <c r="Q15">
        <f>M15*K15</f>
        <v/>
      </c>
      <c r="R15">
        <f>C15*N15/100 + F15*O15/100 + I15*P15/100 + L15*Q15/100</f>
        <v/>
      </c>
      <c r="S15">
        <f>R15*0.24</f>
        <v/>
      </c>
      <c r="T15">
        <f>R15*0.065</f>
        <v/>
      </c>
      <c r="U15">
        <f>IF(R15&gt;8,"Too high – reduce","OK (≤8 g/L)")</f>
        <v/>
      </c>
    </row>
    <row r="16">
      <c r="B16" t="n">
        <v>0.25</v>
      </c>
      <c r="C16">
        <f>IFERROR(XLOOKUP(A16,FruitMaster!$A$2:$A$100,FruitMaster!$B$2:$B$100),"")</f>
        <v/>
      </c>
      <c r="E16" t="n">
        <v>0.25</v>
      </c>
      <c r="F16">
        <f>IFERROR(XLOOKUP(D16,FruitMaster!$A$2:$A$100,FruitMaster!$B$2:$B$100),"")</f>
        <v/>
      </c>
      <c r="H16" t="n">
        <v>0.25</v>
      </c>
      <c r="I16">
        <f>IFERROR(XLOOKUP(G16,FruitMaster!$A$2:$A$100,FruitMaster!$B$2:$B$100),"")</f>
        <v/>
      </c>
      <c r="K16" t="n">
        <v>0.25</v>
      </c>
      <c r="L16">
        <f>IFERROR(XLOOKUP(J16,FruitMaster!$A$2:$A$100,FruitMaster!$B$2:$B$100),"")</f>
        <v/>
      </c>
      <c r="M16" t="n">
        <v>80</v>
      </c>
      <c r="N16">
        <f>M16*B16</f>
        <v/>
      </c>
      <c r="O16">
        <f>M16*E16</f>
        <v/>
      </c>
      <c r="P16">
        <f>M16*H16</f>
        <v/>
      </c>
      <c r="Q16">
        <f>M16*K16</f>
        <v/>
      </c>
      <c r="R16">
        <f>C16*N16/100 + F16*O16/100 + I16*P16/100 + L16*Q16/100</f>
        <v/>
      </c>
      <c r="S16">
        <f>R16*0.24</f>
        <v/>
      </c>
      <c r="T16">
        <f>R16*0.065</f>
        <v/>
      </c>
      <c r="U16">
        <f>IF(R16&gt;8,"Too high – reduce","OK (≤8 g/L)")</f>
        <v/>
      </c>
    </row>
    <row r="17">
      <c r="B17" t="n">
        <v>0.25</v>
      </c>
      <c r="C17">
        <f>IFERROR(XLOOKUP(A17,FruitMaster!$A$2:$A$100,FruitMaster!$B$2:$B$100),"")</f>
        <v/>
      </c>
      <c r="E17" t="n">
        <v>0.25</v>
      </c>
      <c r="F17">
        <f>IFERROR(XLOOKUP(D17,FruitMaster!$A$2:$A$100,FruitMaster!$B$2:$B$100),"")</f>
        <v/>
      </c>
      <c r="H17" t="n">
        <v>0.25</v>
      </c>
      <c r="I17">
        <f>IFERROR(XLOOKUP(G17,FruitMaster!$A$2:$A$100,FruitMaster!$B$2:$B$100),"")</f>
        <v/>
      </c>
      <c r="K17" t="n">
        <v>0.25</v>
      </c>
      <c r="L17">
        <f>IFERROR(XLOOKUP(J17,FruitMaster!$A$2:$A$100,FruitMaster!$B$2:$B$100),"")</f>
        <v/>
      </c>
      <c r="M17" t="n">
        <v>80</v>
      </c>
      <c r="N17">
        <f>M17*B17</f>
        <v/>
      </c>
      <c r="O17">
        <f>M17*E17</f>
        <v/>
      </c>
      <c r="P17">
        <f>M17*H17</f>
        <v/>
      </c>
      <c r="Q17">
        <f>M17*K17</f>
        <v/>
      </c>
      <c r="R17">
        <f>C17*N17/100 + F17*O17/100 + I17*P17/100 + L17*Q17/100</f>
        <v/>
      </c>
      <c r="S17">
        <f>R17*0.24</f>
        <v/>
      </c>
      <c r="T17">
        <f>R17*0.065</f>
        <v/>
      </c>
      <c r="U17">
        <f>IF(R17&gt;8,"Too high – reduce","OK (≤8 g/L)")</f>
        <v/>
      </c>
    </row>
    <row r="18">
      <c r="B18" t="n">
        <v>0.25</v>
      </c>
      <c r="C18">
        <f>IFERROR(XLOOKUP(A18,FruitMaster!$A$2:$A$100,FruitMaster!$B$2:$B$100),"")</f>
        <v/>
      </c>
      <c r="E18" t="n">
        <v>0.25</v>
      </c>
      <c r="F18">
        <f>IFERROR(XLOOKUP(D18,FruitMaster!$A$2:$A$100,FruitMaster!$B$2:$B$100),"")</f>
        <v/>
      </c>
      <c r="H18" t="n">
        <v>0.25</v>
      </c>
      <c r="I18">
        <f>IFERROR(XLOOKUP(G18,FruitMaster!$A$2:$A$100,FruitMaster!$B$2:$B$100),"")</f>
        <v/>
      </c>
      <c r="K18" t="n">
        <v>0.25</v>
      </c>
      <c r="L18">
        <f>IFERROR(XLOOKUP(J18,FruitMaster!$A$2:$A$100,FruitMaster!$B$2:$B$100),"")</f>
        <v/>
      </c>
      <c r="M18" t="n">
        <v>80</v>
      </c>
      <c r="N18">
        <f>M18*B18</f>
        <v/>
      </c>
      <c r="O18">
        <f>M18*E18</f>
        <v/>
      </c>
      <c r="P18">
        <f>M18*H18</f>
        <v/>
      </c>
      <c r="Q18">
        <f>M18*K18</f>
        <v/>
      </c>
      <c r="R18">
        <f>C18*N18/100 + F18*O18/100 + I18*P18/100 + L18*Q18/100</f>
        <v/>
      </c>
      <c r="S18">
        <f>R18*0.24</f>
        <v/>
      </c>
      <c r="T18">
        <f>R18*0.065</f>
        <v/>
      </c>
      <c r="U18">
        <f>IF(R18&gt;8,"Too high – reduce","OK (≤8 g/L)")</f>
        <v/>
      </c>
    </row>
    <row r="19">
      <c r="B19" t="n">
        <v>0.25</v>
      </c>
      <c r="C19">
        <f>IFERROR(XLOOKUP(A19,FruitMaster!$A$2:$A$100,FruitMaster!$B$2:$B$100),"")</f>
        <v/>
      </c>
      <c r="E19" t="n">
        <v>0.25</v>
      </c>
      <c r="F19">
        <f>IFERROR(XLOOKUP(D19,FruitMaster!$A$2:$A$100,FruitMaster!$B$2:$B$100),"")</f>
        <v/>
      </c>
      <c r="H19" t="n">
        <v>0.25</v>
      </c>
      <c r="I19">
        <f>IFERROR(XLOOKUP(G19,FruitMaster!$A$2:$A$100,FruitMaster!$B$2:$B$100),"")</f>
        <v/>
      </c>
      <c r="K19" t="n">
        <v>0.25</v>
      </c>
      <c r="L19">
        <f>IFERROR(XLOOKUP(J19,FruitMaster!$A$2:$A$100,FruitMaster!$B$2:$B$100),"")</f>
        <v/>
      </c>
      <c r="M19" t="n">
        <v>80</v>
      </c>
      <c r="N19">
        <f>M19*B19</f>
        <v/>
      </c>
      <c r="O19">
        <f>M19*E19</f>
        <v/>
      </c>
      <c r="P19">
        <f>M19*H19</f>
        <v/>
      </c>
      <c r="Q19">
        <f>M19*K19</f>
        <v/>
      </c>
      <c r="R19">
        <f>C19*N19/100 + F19*O19/100 + I19*P19/100 + L19*Q19/100</f>
        <v/>
      </c>
      <c r="S19">
        <f>R19*0.24</f>
        <v/>
      </c>
      <c r="T19">
        <f>R19*0.065</f>
        <v/>
      </c>
      <c r="U19">
        <f>IF(R19&gt;8,"Too high – reduce","OK (≤8 g/L)")</f>
        <v/>
      </c>
    </row>
    <row r="20">
      <c r="B20" t="n">
        <v>0.25</v>
      </c>
      <c r="C20">
        <f>IFERROR(XLOOKUP(A20,FruitMaster!$A$2:$A$100,FruitMaster!$B$2:$B$100),"")</f>
        <v/>
      </c>
      <c r="E20" t="n">
        <v>0.25</v>
      </c>
      <c r="F20">
        <f>IFERROR(XLOOKUP(D20,FruitMaster!$A$2:$A$100,FruitMaster!$B$2:$B$100),"")</f>
        <v/>
      </c>
      <c r="H20" t="n">
        <v>0.25</v>
      </c>
      <c r="I20">
        <f>IFERROR(XLOOKUP(G20,FruitMaster!$A$2:$A$100,FruitMaster!$B$2:$B$100),"")</f>
        <v/>
      </c>
      <c r="K20" t="n">
        <v>0.25</v>
      </c>
      <c r="L20">
        <f>IFERROR(XLOOKUP(J20,FruitMaster!$A$2:$A$100,FruitMaster!$B$2:$B$100),"")</f>
        <v/>
      </c>
      <c r="M20" t="n">
        <v>80</v>
      </c>
      <c r="N20">
        <f>M20*B20</f>
        <v/>
      </c>
      <c r="O20">
        <f>M20*E20</f>
        <v/>
      </c>
      <c r="P20">
        <f>M20*H20</f>
        <v/>
      </c>
      <c r="Q20">
        <f>M20*K20</f>
        <v/>
      </c>
      <c r="R20">
        <f>C20*N20/100 + F20*O20/100 + I20*P20/100 + L20*Q20/100</f>
        <v/>
      </c>
      <c r="S20">
        <f>R20*0.24</f>
        <v/>
      </c>
      <c r="T20">
        <f>R20*0.065</f>
        <v/>
      </c>
      <c r="U20">
        <f>IF(R20&gt;8,"Too high – reduce","OK (≤8 g/L)")</f>
        <v/>
      </c>
    </row>
    <row r="21">
      <c r="B21" t="n">
        <v>0.25</v>
      </c>
      <c r="C21">
        <f>IFERROR(XLOOKUP(A21,FruitMaster!$A$2:$A$100,FruitMaster!$B$2:$B$100),"")</f>
        <v/>
      </c>
      <c r="E21" t="n">
        <v>0.25</v>
      </c>
      <c r="F21">
        <f>IFERROR(XLOOKUP(D21,FruitMaster!$A$2:$A$100,FruitMaster!$B$2:$B$100),"")</f>
        <v/>
      </c>
      <c r="H21" t="n">
        <v>0.25</v>
      </c>
      <c r="I21">
        <f>IFERROR(XLOOKUP(G21,FruitMaster!$A$2:$A$100,FruitMaster!$B$2:$B$100),"")</f>
        <v/>
      </c>
      <c r="K21" t="n">
        <v>0.25</v>
      </c>
      <c r="L21">
        <f>IFERROR(XLOOKUP(J21,FruitMaster!$A$2:$A$100,FruitMaster!$B$2:$B$100),"")</f>
        <v/>
      </c>
      <c r="M21" t="n">
        <v>80</v>
      </c>
      <c r="N21">
        <f>M21*B21</f>
        <v/>
      </c>
      <c r="O21">
        <f>M21*E21</f>
        <v/>
      </c>
      <c r="P21">
        <f>M21*H21</f>
        <v/>
      </c>
      <c r="Q21">
        <f>M21*K21</f>
        <v/>
      </c>
      <c r="R21">
        <f>C21*N21/100 + F21*O21/100 + I21*P21/100 + L21*Q21/100</f>
        <v/>
      </c>
      <c r="S21">
        <f>R21*0.24</f>
        <v/>
      </c>
      <c r="T21">
        <f>R21*0.065</f>
        <v/>
      </c>
      <c r="U21">
        <f>IF(R21&gt;8,"Too high – reduce","OK (≤8 g/L)")</f>
        <v/>
      </c>
    </row>
  </sheetData>
  <dataValidations count="1">
    <dataValidation sqref="A2 D2 G2 J2 A3 D3 G3 J3 A4 D4 G4 J4 A5 D5 G5 J5 A6 D6 G6 J6 A7 D7 G7 J7 A8 D8 G8 J8 A9 D9 G9 J9 A10 D10 G10 J10 A11 D11 G11 J11 A12 D12 G12 J12 A13 D13 G13 J13 A14 D14 G14 J14 A15 D15 G15 J15 A16 D16 G16 J16 A17 D17 G17 J17 A18 D18 G18 J18 A19 D19 G19 J19 A20 D20 G20 J20 A21 D21 G21 J21" showErrorMessage="1" showInputMessage="1" allowBlank="1" type="list">
      <formula1>'FruitMaster'!$A$2:$A$24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t="inlineStr">
        <is>
          <t>Juice Ferment Designer</t>
        </is>
      </c>
    </row>
    <row r="3">
      <c r="A3" t="inlineStr">
        <is>
          <t>Active Blend Row (from MultiFruitBlend)</t>
        </is>
      </c>
      <c r="B3" t="n">
        <v>2</v>
      </c>
    </row>
    <row r="5">
      <c r="A5" t="inlineStr">
        <is>
          <t>Batch_Volume_L</t>
        </is>
      </c>
      <c r="B5" t="n">
        <v>3</v>
      </c>
    </row>
    <row r="6">
      <c r="A6" t="inlineStr">
        <is>
          <t>Total_Juice_ml_per_L</t>
        </is>
      </c>
      <c r="B6">
        <f>INDEX(MultiFruitBlend!$M$2:$M$21, B3-1+1)</f>
        <v/>
      </c>
    </row>
    <row r="8">
      <c r="A8" t="inlineStr">
        <is>
          <t>Fruit</t>
        </is>
      </c>
      <c r="B8" t="inlineStr">
        <is>
          <t>Pct</t>
        </is>
      </c>
      <c r="C8" t="inlineStr">
        <is>
          <t>Juice_ml_per_L</t>
        </is>
      </c>
      <c r="D8" t="inlineStr">
        <is>
          <t>Juice_ml_for_Batch</t>
        </is>
      </c>
      <c r="E8" t="inlineStr">
        <is>
          <t>Sugar_g_per_100ml</t>
        </is>
      </c>
      <c r="F8" t="inlineStr">
        <is>
          <t>Sugar_g_per_L_from_this_fruit</t>
        </is>
      </c>
    </row>
    <row r="9">
      <c r="A9">
        <f>INDEX(MultiFruitBlend!$A$2:$A$21, B3-1+1)</f>
        <v/>
      </c>
      <c r="B9">
        <f>INDEX(MultiFruitBlend!$B$2:$B$21, B3-1+1)</f>
        <v/>
      </c>
      <c r="C9">
        <f>INDEX(MultiFruitBlend!$N$2:$N$21, B3-1+1)</f>
        <v/>
      </c>
      <c r="D9">
        <f>C9*$B$5</f>
        <v/>
      </c>
      <c r="E9">
        <f>INDEX(MultiFruitBlend!$C$2:$C$21, B3-1+1)</f>
        <v/>
      </c>
      <c r="F9">
        <f>E9*C9/100</f>
        <v/>
      </c>
    </row>
    <row r="10">
      <c r="A10">
        <f>INDEX(MultiFruitBlend!$D$2:$D$21, B3-1+1)</f>
        <v/>
      </c>
      <c r="B10">
        <f>INDEX(MultiFruitBlend!$E$2:$E$21, B3-1+1)</f>
        <v/>
      </c>
      <c r="C10">
        <f>INDEX(MultiFruitBlend!$O$2:$O$21, B3-1+1)</f>
        <v/>
      </c>
      <c r="D10">
        <f>C10*$B$5</f>
        <v/>
      </c>
      <c r="E10">
        <f>INDEX(MultiFruitBlend!$F$2:$F$21, B3-1+1)</f>
        <v/>
      </c>
      <c r="F10">
        <f>E10*C10/100</f>
        <v/>
      </c>
    </row>
    <row r="11">
      <c r="A11">
        <f>INDEX(MultiFruitBlend!$G$2:$G$21, B3-1+1)</f>
        <v/>
      </c>
      <c r="B11">
        <f>INDEX(MultiFruitBlend!$H$2:$H$21, B3-1+1)</f>
        <v/>
      </c>
      <c r="C11">
        <f>INDEX(MultiFruitBlend!$P$2:$P$21, B3-1+1)</f>
        <v/>
      </c>
      <c r="D11">
        <f>C11*$B$5</f>
        <v/>
      </c>
      <c r="E11">
        <f>INDEX(MultiFruitBlend!$I$2:$I$21, B3-1+1)</f>
        <v/>
      </c>
      <c r="F11">
        <f>E11*C11/100</f>
        <v/>
      </c>
    </row>
    <row r="12">
      <c r="A12">
        <f>INDEX(MultiFruitBlend!$J$2:$J$21, B3-1+1)</f>
        <v/>
      </c>
      <c r="B12">
        <f>INDEX(MultiFruitBlend!$K$2:$K$21, B3-1+1)</f>
        <v/>
      </c>
      <c r="C12">
        <f>INDEX(MultiFruitBlend!$Q$2:$Q$21, B3-1+1)</f>
        <v/>
      </c>
      <c r="D12">
        <f>C12*$B$5</f>
        <v/>
      </c>
      <c r="E12">
        <f>INDEX(MultiFruitBlend!$L$2:$L$21, B3-1+1)</f>
        <v/>
      </c>
      <c r="F12">
        <f>E12*C12/100</f>
        <v/>
      </c>
    </row>
    <row r="14">
      <c r="A14" t="inlineStr">
        <is>
          <t>Total_Sugar_g_per_L</t>
        </is>
      </c>
      <c r="B14">
        <f>SUM(F9:F12)</f>
        <v/>
      </c>
    </row>
    <row r="15">
      <c r="A15" t="inlineStr">
        <is>
          <t>Total_Sugar_g_for_Batch</t>
        </is>
      </c>
      <c r="B15">
        <f>B14*B5</f>
        <v/>
      </c>
    </row>
    <row r="16">
      <c r="A16" t="inlineStr">
        <is>
          <t>CO2_Vols</t>
        </is>
      </c>
      <c r="B16">
        <f>B14*0.24</f>
        <v/>
      </c>
    </row>
    <row r="17">
      <c r="A17" t="inlineStr">
        <is>
          <t>ABV_percent</t>
        </is>
      </c>
      <c r="B17">
        <f>B14*0.065</f>
        <v/>
      </c>
    </row>
    <row r="18">
      <c r="A18" t="inlineStr">
        <is>
          <t>Safety_Flag</t>
        </is>
      </c>
      <c r="B18">
        <f>IF(B14&gt;8,"Too high – reduce sugar/juice","OK (≤8 g/L)")</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t="inlineStr">
        <is>
          <t>WWY Probiotic Drink – SOP (Ginger Bug + Fruit Juice)</t>
        </is>
      </c>
    </row>
    <row r="3">
      <c r="A3" t="inlineStr">
        <is>
          <t>1. Design your flavour blend on the MultiFruitBlend sheet:</t>
        </is>
      </c>
    </row>
    <row r="4">
      <c r="A4" t="inlineStr">
        <is>
          <t xml:space="preserve">   - Choose up to 4 fruits using dropdowns.</t>
        </is>
      </c>
    </row>
    <row r="5">
      <c r="A5" t="inlineStr">
        <is>
          <t xml:space="preserve">   - Set percentage split so the total is 1.00 (100%).</t>
        </is>
      </c>
    </row>
    <row r="6">
      <c r="A6" t="inlineStr">
        <is>
          <t xml:space="preserve">   - Set Total_Juice_ml_per_L (typically 60–100 ml per L).</t>
        </is>
      </c>
    </row>
    <row r="7">
      <c r="A7" t="inlineStr">
        <is>
          <t xml:space="preserve">   - Check Total_Sugar_g_L and Safety_Flag (keep ≤ 8 g/L).</t>
        </is>
      </c>
    </row>
    <row r="9">
      <c r="A9" t="inlineStr">
        <is>
          <t>2. Go to Juice Ferment Designer:</t>
        </is>
      </c>
    </row>
    <row r="10">
      <c r="A10" t="inlineStr">
        <is>
          <t xml:space="preserve">   - Set Active Blend Row to the row number of your chosen blend.</t>
        </is>
      </c>
    </row>
    <row r="11">
      <c r="A11" t="inlineStr">
        <is>
          <t xml:space="preserve">   - Set Batch_Volume_L (e.g. 3 L, 5 L).</t>
        </is>
      </c>
    </row>
    <row r="12">
      <c r="A12" t="inlineStr">
        <is>
          <t xml:space="preserve">   - The sheet will output ml of each juice for the batch and sugar/CO2/ABV.</t>
        </is>
      </c>
    </row>
    <row r="14">
      <c r="A14" t="inlineStr">
        <is>
          <t>3. Brewing (per litre):</t>
        </is>
      </c>
    </row>
    <row r="15">
      <c r="A15" t="inlineStr">
        <is>
          <t xml:space="preserve">   - Water to make up total volume.</t>
        </is>
      </c>
    </row>
    <row r="16">
      <c r="A16" t="inlineStr">
        <is>
          <t xml:space="preserve">   - Ginger bug: 15 ml per L (adjust as needed).</t>
        </is>
      </c>
    </row>
    <row r="17">
      <c r="A17" t="inlineStr">
        <is>
          <t xml:space="preserve">   - Lemon juice: 10–15 ml per L for acidity and flavour.</t>
        </is>
      </c>
    </row>
    <row r="18">
      <c r="A18" t="inlineStr">
        <is>
          <t xml:space="preserve">   - Fruit juices as per Designer sheet.</t>
        </is>
      </c>
    </row>
    <row r="19">
      <c r="A19" t="inlineStr">
        <is>
          <t xml:space="preserve">   - Optional extra sugar only if Total_Sugar_g_L is still below target (max 8 g/L).</t>
        </is>
      </c>
    </row>
    <row r="21">
      <c r="A21" t="inlineStr">
        <is>
          <t>4. Fermentation:</t>
        </is>
      </c>
    </row>
    <row r="22">
      <c r="A22" t="inlineStr">
        <is>
          <t xml:space="preserve">   - Primary: ferment in open vessel (cloth cover) for 18–36 hours until lightly tart.</t>
        </is>
      </c>
    </row>
    <row r="23">
      <c r="A23" t="inlineStr">
        <is>
          <t xml:space="preserve">   - Bottle into PET or strong glass with headspace.</t>
        </is>
      </c>
    </row>
    <row r="24">
      <c r="A24" t="inlineStr">
        <is>
          <t xml:space="preserve">   - Leave at room temperature; chill when bottles are firm.</t>
        </is>
      </c>
    </row>
    <row r="26">
      <c r="A26" t="inlineStr">
        <is>
          <t>5. Safety:</t>
        </is>
      </c>
    </row>
    <row r="27">
      <c r="A27" t="inlineStr">
        <is>
          <t xml:space="preserve">   - Keep total fermentable sugar at or below 8 g/L for ABV ≲ 0.5% and manageable pressure.</t>
        </is>
      </c>
    </row>
    <row r="28">
      <c r="A28" t="inlineStr">
        <is>
          <t xml:space="preserve">   - Use PET for testing new recipes.</t>
        </is>
      </c>
    </row>
    <row r="29">
      <c r="A29" t="inlineStr">
        <is>
          <t xml:space="preserve">   - Always refrigerate once carbonation is where you want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Target_Sweetness_1to10</t>
        </is>
      </c>
      <c r="B1" t="inlineStr">
        <is>
          <t>Target_Tartness_1to10</t>
        </is>
      </c>
      <c r="C1" t="inlineStr">
        <is>
          <t>Suggested_Fruit1</t>
        </is>
      </c>
      <c r="D1" t="inlineStr">
        <is>
          <t>Suggested_Fruit2</t>
        </is>
      </c>
      <c r="E1" t="inlineStr">
        <is>
          <t>Suggested_Fruit3</t>
        </is>
      </c>
      <c r="F1" t="inlineStr">
        <is>
          <t>Suggested_Fruit4</t>
        </is>
      </c>
      <c r="G1" t="inlineStr">
        <is>
          <t>Pct1</t>
        </is>
      </c>
      <c r="H1" t="inlineStr">
        <is>
          <t>Pct2</t>
        </is>
      </c>
      <c r="I1" t="inlineStr">
        <is>
          <t>Pct3</t>
        </is>
      </c>
      <c r="J1" t="inlineStr">
        <is>
          <t>Pct4</t>
        </is>
      </c>
      <c r="K1" t="inlineStr">
        <is>
          <t>Notes</t>
        </is>
      </c>
    </row>
    <row r="2">
      <c r="A2" t="n">
        <v>7</v>
      </c>
      <c r="B2" t="n">
        <v>5</v>
      </c>
      <c r="C2">
        <f>INDEX(FruitMaster!$A$2:$A$25, MATCH(LARGE(1/(ABS(FruitMaster!$C$2:$C$25-A2)+ABS(FruitMaster!$D$2:$D$25-B2)),1), 1/(ABS(FruitMaster!$C$2:$C$25-A2)+ABS(FruitMaster!$D$2:$D$25-B2)),0))</f>
        <v/>
      </c>
      <c r="D2" t="inlineStr">
        <is>
          <t>Second best match (manual placeholder)</t>
        </is>
      </c>
      <c r="E2" t="inlineStr">
        <is>
          <t>Third best</t>
        </is>
      </c>
      <c r="F2" t="inlineStr">
        <is>
          <t>Fourth best</t>
        </is>
      </c>
      <c r="G2" t="n">
        <v>0.4</v>
      </c>
      <c r="H2" t="n">
        <v>0.3</v>
      </c>
      <c r="I2" t="n">
        <v>0.2</v>
      </c>
      <c r="J2" t="n">
        <v>0.1</v>
      </c>
      <c r="K2" t="inlineStr">
        <is>
          <t>Auto-generated via flavor scoring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0" customWidth="1" min="1" max="1"/>
    <col width="40" customWidth="1" min="2" max="2"/>
  </cols>
  <sheetData>
    <row r="1">
      <c r="A1" t="inlineStr">
        <is>
          <t>Field</t>
        </is>
      </c>
      <c r="B1" t="inlineStr">
        <is>
          <t>Value</t>
        </is>
      </c>
    </row>
    <row r="2">
      <c r="A2" t="inlineStr">
        <is>
          <t>Selected Blend Row (from MultiFruitBlend)</t>
        </is>
      </c>
      <c r="B2" t="n">
        <v>2</v>
      </c>
    </row>
    <row r="3">
      <c r="A3" t="inlineStr">
        <is>
          <t>Batch Volume (L)</t>
        </is>
      </c>
      <c r="B3" t="n">
        <v>3</v>
      </c>
    </row>
    <row r="4">
      <c r="A4" t="inlineStr">
        <is>
          <t>Fruit1</t>
        </is>
      </c>
      <c r="B4">
        <f>INDEX(MultiFruitBlend!A2:A21, ProductionMode!B2)</f>
        <v/>
      </c>
    </row>
    <row r="5">
      <c r="A5" t="inlineStr">
        <is>
          <t>Fruit2</t>
        </is>
      </c>
      <c r="B5">
        <f>INDEX(MultiFruitBlend!D2:D21, ProductionMode!B2)</f>
        <v/>
      </c>
    </row>
    <row r="6">
      <c r="A6" t="inlineStr">
        <is>
          <t>Fruit3</t>
        </is>
      </c>
      <c r="B6">
        <f>INDEX(MultiFruitBlend!G2:G21, ProductionMode!B2)</f>
        <v/>
      </c>
    </row>
    <row r="7">
      <c r="A7" t="inlineStr">
        <is>
          <t>Fruit4</t>
        </is>
      </c>
      <c r="B7">
        <f>INDEX(MultiFruitBlend!J2:J21, ProductionMode!B2)</f>
        <v/>
      </c>
    </row>
    <row r="8">
      <c r="A8" t="inlineStr">
        <is>
          <t>Juice Amounts Based on Designer</t>
        </is>
      </c>
    </row>
    <row r="9">
      <c r="A9" t="inlineStr">
        <is>
          <t>Juice1_ml</t>
        </is>
      </c>
      <c r="B9">
        <f>INDEX(JuiceFermentDesigner!C9:C12,1)</f>
        <v/>
      </c>
    </row>
    <row r="10">
      <c r="A10" t="inlineStr">
        <is>
          <t>Juice2_ml</t>
        </is>
      </c>
      <c r="B10">
        <f>INDEX(JuiceFermentDesigner!C9:C12,2)</f>
        <v/>
      </c>
    </row>
    <row r="11">
      <c r="A11" t="inlineStr">
        <is>
          <t>Juice3_ml</t>
        </is>
      </c>
      <c r="B11">
        <f>INDEX(JuiceFermentDesigner!C9:C12,3)</f>
        <v/>
      </c>
    </row>
    <row r="12">
      <c r="A12" t="inlineStr">
        <is>
          <t>Juice4_ml</t>
        </is>
      </c>
      <c r="B12">
        <f>INDEX(JuiceFermentDesigner!C9:C12,4)</f>
        <v/>
      </c>
    </row>
    <row r="13">
      <c r="A13" t="inlineStr">
        <is>
          <t>Total Sugar g/L</t>
        </is>
      </c>
      <c r="B13">
        <f>JuiceFermentDesigner!B14</f>
        <v/>
      </c>
    </row>
    <row r="14">
      <c r="A14" t="inlineStr">
        <is>
          <t>CO2 Volumes</t>
        </is>
      </c>
      <c r="B14">
        <f>JuiceFermentDesigner!B16</f>
        <v/>
      </c>
    </row>
    <row r="15">
      <c r="A15" t="inlineStr">
        <is>
          <t>ABV %</t>
        </is>
      </c>
      <c r="B15">
        <f>JuiceFermentDesigner!B17</f>
        <v/>
      </c>
    </row>
    <row r="16">
      <c r="A16" t="inlineStr">
        <is>
          <t>Safety Flag</t>
        </is>
      </c>
      <c r="B16">
        <f>JuiceFermentDesigner!B18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t="inlineStr">
        <is>
          <t>Blend Name</t>
        </is>
      </c>
      <c r="B1" t="inlineStr">
        <is>
          <t>Fruit1</t>
        </is>
      </c>
      <c r="C1" t="inlineStr">
        <is>
          <t>Pct1</t>
        </is>
      </c>
      <c r="D1" t="inlineStr">
        <is>
          <t>Fruit2</t>
        </is>
      </c>
      <c r="E1" t="inlineStr">
        <is>
          <t>Pct2</t>
        </is>
      </c>
      <c r="F1" t="inlineStr">
        <is>
          <t>Fruit3</t>
        </is>
      </c>
      <c r="G1" t="inlineStr">
        <is>
          <t>Pct3</t>
        </is>
      </c>
      <c r="H1" t="inlineStr">
        <is>
          <t>Fruit4</t>
        </is>
      </c>
      <c r="I1" t="inlineStr">
        <is>
          <t>Pct4</t>
        </is>
      </c>
      <c r="J1" t="inlineStr">
        <is>
          <t>Notes</t>
        </is>
      </c>
    </row>
    <row r="2">
      <c r="A2" t="inlineStr">
        <is>
          <t>Apple-Blueberry Balanced</t>
        </is>
      </c>
      <c r="B2" t="inlineStr">
        <is>
          <t>Apple</t>
        </is>
      </c>
      <c r="C2" t="n">
        <v>0.5</v>
      </c>
      <c r="D2" t="inlineStr">
        <is>
          <t>Blueberry</t>
        </is>
      </c>
      <c r="E2" t="n">
        <v>0.3</v>
      </c>
      <c r="F2" t="inlineStr">
        <is>
          <t>Lemon</t>
        </is>
      </c>
      <c r="G2" t="n">
        <v>0.1</v>
      </c>
      <c r="H2" t="inlineStr">
        <is>
          <t>Watermelon</t>
        </is>
      </c>
      <c r="I2" t="n">
        <v>0.1</v>
      </c>
      <c r="J2" t="inlineStr">
        <is>
          <t>Balanced profile</t>
        </is>
      </c>
    </row>
    <row r="3">
      <c r="A3" t="inlineStr">
        <is>
          <t>Tropical Punch</t>
        </is>
      </c>
      <c r="B3" t="inlineStr">
        <is>
          <t>Pineapple</t>
        </is>
      </c>
      <c r="C3" t="n">
        <v>0.4</v>
      </c>
      <c r="D3" t="inlineStr">
        <is>
          <t>Mango</t>
        </is>
      </c>
      <c r="E3" t="n">
        <v>0.3</v>
      </c>
      <c r="F3" t="inlineStr">
        <is>
          <t>Passionfruit</t>
        </is>
      </c>
      <c r="G3" t="n">
        <v>0.2</v>
      </c>
      <c r="H3" t="inlineStr">
        <is>
          <t>Lime</t>
        </is>
      </c>
      <c r="I3" t="n">
        <v>0.1</v>
      </c>
      <c r="J3" t="inlineStr">
        <is>
          <t>Tropical &amp; bright</t>
        </is>
      </c>
    </row>
    <row r="4">
      <c r="A4" t="inlineStr">
        <is>
          <t>Berry Blast</t>
        </is>
      </c>
      <c r="B4" t="inlineStr">
        <is>
          <t>Strawberry</t>
        </is>
      </c>
      <c r="C4" t="n">
        <v>0.4</v>
      </c>
      <c r="D4" t="inlineStr">
        <is>
          <t>Blueberry</t>
        </is>
      </c>
      <c r="E4" t="n">
        <v>0.3</v>
      </c>
      <c r="F4" t="inlineStr">
        <is>
          <t>Raspberry</t>
        </is>
      </c>
      <c r="G4" t="n">
        <v>0.2</v>
      </c>
      <c r="H4" t="inlineStr">
        <is>
          <t>Cherry</t>
        </is>
      </c>
      <c r="I4" t="n">
        <v>0.1</v>
      </c>
      <c r="J4" t="inlineStr">
        <is>
          <t>Strong red berry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0" customWidth="1" min="2" max="2"/>
    <col width="20" customWidth="1" min="3" max="3"/>
    <col width="25" customWidth="1" min="4" max="4"/>
  </cols>
  <sheetData>
    <row r="1">
      <c r="A1" t="inlineStr">
        <is>
          <t>Ingredient</t>
        </is>
      </c>
      <c r="B1" t="inlineStr">
        <is>
          <t>Cost_per_L_or_kg</t>
        </is>
      </c>
      <c r="C1" t="inlineStr">
        <is>
          <t>Usage_Unit</t>
        </is>
      </c>
      <c r="D1" t="inlineStr">
        <is>
          <t>Cost_for_Batch</t>
        </is>
      </c>
    </row>
    <row r="2">
      <c r="A2" t="inlineStr">
        <is>
          <t>Apple Juice</t>
        </is>
      </c>
      <c r="B2" t="n">
        <v>120</v>
      </c>
      <c r="C2" t="inlineStr">
        <is>
          <t>per L</t>
        </is>
      </c>
    </row>
    <row r="3">
      <c r="A3" t="inlineStr">
        <is>
          <t>Blueberry Juice</t>
        </is>
      </c>
      <c r="B3" t="n">
        <v>300</v>
      </c>
      <c r="C3" t="inlineStr">
        <is>
          <t>per L</t>
        </is>
      </c>
    </row>
    <row r="4">
      <c r="A4" t="inlineStr">
        <is>
          <t>Lemon Juice</t>
        </is>
      </c>
      <c r="B4" t="n">
        <v>80</v>
      </c>
      <c r="C4" t="inlineStr">
        <is>
          <t>per L</t>
        </is>
      </c>
    </row>
    <row r="5">
      <c r="A5" t="inlineStr">
        <is>
          <t>Ginger Bug</t>
        </is>
      </c>
      <c r="B5" t="n">
        <v>0</v>
      </c>
      <c r="C5" t="inlineStr">
        <is>
          <t>homemade</t>
        </is>
      </c>
    </row>
    <row r="6">
      <c r="A6" t="inlineStr">
        <is>
          <t>Sugar (optional)</t>
        </is>
      </c>
      <c r="B6" t="n">
        <v>45</v>
      </c>
      <c r="C6" t="inlineStr">
        <is>
          <t>per kg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0" customWidth="1" min="1" max="1"/>
    <col width="20" customWidth="1" min="2" max="2"/>
    <col width="20" customWidth="1" min="3" max="3"/>
    <col width="25" customWidth="1" min="4" max="4"/>
  </cols>
  <sheetData>
    <row r="1">
      <c r="A1" t="inlineStr">
        <is>
          <t>Sugar_g_per_L</t>
        </is>
      </c>
      <c r="B1" t="inlineStr">
        <is>
          <t>Temp_C</t>
        </is>
      </c>
      <c r="C1" t="inlineStr">
        <is>
          <t>Max_Time_Hours</t>
        </is>
      </c>
      <c r="D1" t="inlineStr">
        <is>
          <t>Risk</t>
        </is>
      </c>
    </row>
    <row r="2">
      <c r="A2" t="n">
        <v>6</v>
      </c>
      <c r="B2" t="n">
        <v>30</v>
      </c>
      <c r="C2" t="n">
        <v>12</v>
      </c>
      <c r="D2" t="inlineStr">
        <is>
          <t>Moderate</t>
        </is>
      </c>
    </row>
    <row r="3">
      <c r="A3" t="n">
        <v>7</v>
      </c>
      <c r="B3" t="n">
        <v>30</v>
      </c>
      <c r="C3" t="n">
        <v>10</v>
      </c>
      <c r="D3" t="inlineStr">
        <is>
          <t>High</t>
        </is>
      </c>
    </row>
    <row r="4">
      <c r="A4" t="n">
        <v>8</v>
      </c>
      <c r="B4" t="n">
        <v>30</v>
      </c>
      <c r="C4" t="n">
        <v>8</v>
      </c>
      <c r="D4" t="inlineStr">
        <is>
          <t>Very High</t>
        </is>
      </c>
    </row>
    <row r="5">
      <c r="A5" t="n">
        <v>6</v>
      </c>
      <c r="B5" t="n">
        <v>26</v>
      </c>
      <c r="C5" t="n">
        <v>18</v>
      </c>
      <c r="D5" t="inlineStr">
        <is>
          <t>Moderate</t>
        </is>
      </c>
    </row>
    <row r="6">
      <c r="A6" t="n">
        <v>7</v>
      </c>
      <c r="B6" t="n">
        <v>26</v>
      </c>
      <c r="C6" t="n">
        <v>14</v>
      </c>
      <c r="D6" t="inlineStr">
        <is>
          <t>High</t>
        </is>
      </c>
    </row>
    <row r="7">
      <c r="A7" t="n">
        <v>8</v>
      </c>
      <c r="B7" t="n">
        <v>26</v>
      </c>
      <c r="C7" t="n">
        <v>12</v>
      </c>
      <c r="D7" t="inlineStr">
        <is>
          <t>High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0" customWidth="1" min="1" max="1"/>
    <col width="40" customWidth="1" min="2" max="2"/>
  </cols>
  <sheetData>
    <row r="1">
      <c r="A1" t="inlineStr">
        <is>
          <t>CONTROL PANEL DASHBOARD</t>
        </is>
      </c>
      <c r="B1" t="inlineStr"/>
    </row>
    <row r="2">
      <c r="A2" t="inlineStr">
        <is>
          <t>--- TARGET PROFILE ---</t>
        </is>
      </c>
      <c r="B2" t="inlineStr"/>
    </row>
    <row r="3">
      <c r="A3" t="inlineStr">
        <is>
          <t>Sweetness Target (1-10)</t>
        </is>
      </c>
      <c r="B3" t="n">
        <v>7</v>
      </c>
    </row>
    <row r="4">
      <c r="A4" t="inlineStr">
        <is>
          <t>Tartness Target (1-10)</t>
        </is>
      </c>
      <c r="B4" t="n">
        <v>5</v>
      </c>
    </row>
    <row r="5">
      <c r="A5" t="inlineStr">
        <is>
          <t>Flavor Style</t>
        </is>
      </c>
      <c r="B5" t="inlineStr">
        <is>
          <t>Tropical / Berry / Citrus / Neutral</t>
        </is>
      </c>
    </row>
    <row r="6">
      <c r="A6" t="inlineStr"/>
      <c r="B6" t="inlineStr"/>
    </row>
    <row r="7">
      <c r="A7" t="inlineStr">
        <is>
          <t>--- AUTO-SUGGESTED BLEND ---</t>
        </is>
      </c>
      <c r="B7" t="inlineStr"/>
    </row>
    <row r="8">
      <c r="A8" t="inlineStr">
        <is>
          <t>Suggested Fruit 1</t>
        </is>
      </c>
      <c r="B8">
        <f>AutoSuggest!C2</f>
        <v/>
      </c>
    </row>
    <row r="9">
      <c r="A9" t="inlineStr">
        <is>
          <t>Suggested Fruit 2</t>
        </is>
      </c>
      <c r="B9">
        <f>AutoSuggest!D2</f>
        <v/>
      </c>
    </row>
    <row r="10">
      <c r="A10" t="inlineStr">
        <is>
          <t>Suggested Fruit 3</t>
        </is>
      </c>
      <c r="B10">
        <f>AutoSuggest!E2</f>
        <v/>
      </c>
    </row>
    <row r="11">
      <c r="A11" t="inlineStr">
        <is>
          <t>Suggested Fruit 4</t>
        </is>
      </c>
      <c r="B11">
        <f>AutoSuggest!F2</f>
        <v/>
      </c>
    </row>
    <row r="12">
      <c r="A12" t="inlineStr">
        <is>
          <t>Pct1</t>
        </is>
      </c>
      <c r="B12">
        <f>AutoSuggest!G2</f>
        <v/>
      </c>
    </row>
    <row r="13">
      <c r="A13" t="inlineStr">
        <is>
          <t>Pct2</t>
        </is>
      </c>
      <c r="B13">
        <f>AutoSuggest!H2</f>
        <v/>
      </c>
    </row>
    <row r="14">
      <c r="A14" t="inlineStr">
        <is>
          <t>Pct3</t>
        </is>
      </c>
      <c r="B14">
        <f>AutoSuggest!I2</f>
        <v/>
      </c>
    </row>
    <row r="15">
      <c r="A15" t="inlineStr">
        <is>
          <t>Pct4</t>
        </is>
      </c>
      <c r="B15">
        <f>AutoSuggest!J2</f>
        <v/>
      </c>
    </row>
    <row r="16">
      <c r="A16" t="inlineStr"/>
      <c r="B16" t="inlineStr"/>
    </row>
    <row r="17">
      <c r="A17" t="inlineStr">
        <is>
          <t>--- BATCH SETUP ---</t>
        </is>
      </c>
      <c r="B17" t="inlineStr"/>
    </row>
    <row r="18">
      <c r="A18" t="inlineStr">
        <is>
          <t>Batch Volume (L)</t>
        </is>
      </c>
      <c r="B18">
        <f>ProductionMode!B3</f>
        <v/>
      </c>
    </row>
    <row r="19">
      <c r="A19" t="inlineStr">
        <is>
          <t>Fruit1 ml</t>
        </is>
      </c>
      <c r="B19">
        <f>JuiceFermentDesigner!D9</f>
        <v/>
      </c>
    </row>
    <row r="20">
      <c r="A20" t="inlineStr">
        <is>
          <t>Fruit2 ml</t>
        </is>
      </c>
      <c r="B20">
        <f>JuiceFermentDesigner!D10</f>
        <v/>
      </c>
    </row>
    <row r="21">
      <c r="A21" t="inlineStr">
        <is>
          <t>Fruit3 ml</t>
        </is>
      </c>
      <c r="B21">
        <f>JuiceFermentDesigner!D11</f>
        <v/>
      </c>
    </row>
    <row r="22">
      <c r="A22" t="inlineStr">
        <is>
          <t>Fruit4 ml</t>
        </is>
      </c>
      <c r="B22">
        <f>JuiceFermentDesigner!D12</f>
        <v/>
      </c>
    </row>
    <row r="23">
      <c r="A23" t="inlineStr">
        <is>
          <t>Total Sugar g/L</t>
        </is>
      </c>
      <c r="B23">
        <f>JuiceFermentDesigner!B14</f>
        <v/>
      </c>
    </row>
    <row r="24">
      <c r="A24" t="inlineStr">
        <is>
          <t>CO2 Vols</t>
        </is>
      </c>
      <c r="B24">
        <f>JuiceFermentDesigner!B16</f>
        <v/>
      </c>
    </row>
    <row r="25">
      <c r="A25" t="inlineStr">
        <is>
          <t>ABV %</t>
        </is>
      </c>
      <c r="B25">
        <f>JuiceFermentDesigner!B17</f>
        <v/>
      </c>
    </row>
    <row r="26">
      <c r="A26" t="inlineStr">
        <is>
          <t>Safety Flag</t>
        </is>
      </c>
      <c r="B26">
        <f>JuiceFermentDesigner!B18</f>
        <v/>
      </c>
    </row>
    <row r="27">
      <c r="A27" t="inlineStr"/>
      <c r="B27" t="inlineStr"/>
    </row>
    <row r="28">
      <c r="A28" t="inlineStr">
        <is>
          <t>--- COSTING ---</t>
        </is>
      </c>
      <c r="B28" t="inlineStr"/>
    </row>
    <row r="29">
      <c r="A29" t="inlineStr">
        <is>
          <t>Cost per Batch (placeholder)</t>
        </is>
      </c>
      <c r="B29" t="inlineStr"/>
    </row>
    <row r="30">
      <c r="A30" t="inlineStr"/>
      <c r="B30" t="inlineStr"/>
    </row>
    <row r="31">
      <c r="A31" t="inlineStr">
        <is>
          <t>--- SAFETY ---</t>
        </is>
      </c>
      <c r="B31" t="inlineStr"/>
    </row>
    <row r="32">
      <c r="A32" t="inlineStr">
        <is>
          <t>Recommended Max Time (hrs)</t>
        </is>
      </c>
      <c r="B32">
        <f>CO2Safety!C2</f>
        <v/>
      </c>
    </row>
    <row r="33">
      <c r="A33" t="inlineStr">
        <is>
          <t>Risk Level</t>
        </is>
      </c>
      <c r="B33">
        <f>CO2Safety!D2</f>
        <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2025-11-23T06:16:58Z</dcterms:created>
  <dcterms:modified xmlns:dcterms="http://purl.org/dc/terms/" xmlns:xsi="http://www.w3.org/2001/XMLSchema-instance" xsi:type="dcterms:W3CDTF">2025-11-23T06:16:58Z</dcterms:modified>
</cp:coreProperties>
</file>